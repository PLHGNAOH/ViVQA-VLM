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ong_dan" sheetId="1" r:id="rId5"/>
    <sheet state="visible" name="error_audit" sheetId="2" r:id="rId6"/>
  </sheets>
  <definedNames/>
  <calcPr/>
</workbook>
</file>

<file path=xl/sharedStrings.xml><?xml version="1.0" encoding="utf-8"?>
<sst xmlns="http://schemas.openxmlformats.org/spreadsheetml/2006/main" count="770" uniqueCount="328">
  <si>
    <t>Hướng dẫn gán nhãn lỗi B2 — W07 error audit</t>
  </si>
  <si>
    <t>stt</t>
  </si>
  <si>
    <t>Việc cần làm</t>
  </si>
  <si>
    <t>phan</t>
  </si>
  <si>
    <t>dataset</t>
  </si>
  <si>
    <t>Với mỗi dòng: mở ảnh (link cột anh), đọc câu hỏi, gold và câu trả lời B2. Chọn 3 ô vàng bằng dropdown, ghi chú nếu cần, điền tên mình ở nguoi_duyet.</t>
  </si>
  <si>
    <t>anh</t>
  </si>
  <si>
    <t>Thứ tự</t>
  </si>
  <si>
    <t>question</t>
  </si>
  <si>
    <t>LÀM PHẦN "hieu_chinh" (20 dòng, tô xanh) TRƯỚC rồi báo trưởng nhóm. Sau đó làm phần "rieng".</t>
  </si>
  <si>
    <t>gold</t>
  </si>
  <si>
    <t>Làm độc lập</t>
  </si>
  <si>
    <t>KHÔNG hỏi nhau đáp án, không mở file của người khác. Dòng khó: chọn nhãn hợp lý nhất + ghi rõ phân vân ở ghi_chu.</t>
  </si>
  <si>
    <t>B2</t>
  </si>
  <si>
    <t>Chỉ chấm B2</t>
  </si>
  <si>
    <t>B2 là mô hình đã fine-tune (QLoRA). Mọi dòng đều là câu B2 bị chấm SAI theo Exact Match; việc của mình là tìm NGUYÊN NHÂN.</t>
  </si>
  <si>
    <t>loai_loi = 1 nguyên nhân chính</t>
  </si>
  <si>
    <t>loai_loi</t>
  </si>
  <si>
    <t>b2_dung_nghia</t>
  </si>
  <si>
    <t>hallucination</t>
  </si>
  <si>
    <t>ghi_chu</t>
  </si>
  <si>
    <t xml:space="preserve">  Gold sai / nhiễu</t>
  </si>
  <si>
    <t>nguoi_duyet</t>
  </si>
  <si>
    <t>Chữ trong ảnh khác gold; hoặc câu hỏi không khớp ảnh; hoặc ảnh không đủ thông tin để trả lời.</t>
  </si>
  <si>
    <t xml:space="preserve">  Định dạng / độ dài (ý đúng)</t>
  </si>
  <si>
    <t>B2 đúng nội dung, chỉ thừa/thiếu chữ phụ, khác khoảng trắng/ký hiệu (vd "2km" vs "2 km", "bạch mai" vs "phòng giao dịch bạch mai").</t>
  </si>
  <si>
    <t xml:space="preserve">  Đồng nghĩa / khác từ (ý đúng)</t>
  </si>
  <si>
    <t>B2 dùng từ khác nhưng người bình thường chấp nhận (vd "phòng tắm" cho "nhà vệ sinh").</t>
  </si>
  <si>
    <t xml:space="preserve">  Đọc chữ sai (OCR)</t>
  </si>
  <si>
    <t>B2 đọc ĐÚNG CHỖ nhưng sai ký tự/chữ số (vd "0979 812 284" thay vì "815").</t>
  </si>
  <si>
    <t xml:space="preserve">  Sai dấu thanh</t>
  </si>
  <si>
    <t>Chỉ sai dấu (vd "tay" thay vì "tây").</t>
  </si>
  <si>
    <t xml:space="preserve">  Sai vùng / không có trong ảnh</t>
  </si>
  <si>
    <t>B2 đọc một dòng chữ KHÁC có thật trong ảnh, hoặc nói thứ không có trong ảnh.</t>
  </si>
  <si>
    <t xml:space="preserve">  Code-switching</t>
  </si>
  <si>
    <t>B2 trả lời bằng tiếng Anh trong khi gold tiếng Việt.</t>
  </si>
  <si>
    <t>da_lam</t>
  </si>
  <si>
    <t xml:space="preserve">  Đếm sai</t>
  </si>
  <si>
    <t>Câu hỏi đếm, B2 ra số khác.</t>
  </si>
  <si>
    <t xml:space="preserve">  Khác</t>
  </si>
  <si>
    <t>Không thuộc nhóm nào ở trên (ghi chú lý do).</t>
  </si>
  <si>
    <t>vivqa</t>
  </si>
  <si>
    <t>Có = một người đọc bình thường sẽ chấp nhận câu trả lời B2. Sai dấu mà đổi nghĩa (di sản → đi săn) = Không.</t>
  </si>
  <si>
    <t>Có = B2 nói ra thứ KHÔNG có trong ảnh. Đọc nhầm sang dòng chữ khác CÓ THẬT trong ảnh = Không.</t>
  </si>
  <si>
    <t>Quy tắc ràng buộc</t>
  </si>
  <si>
    <t>Hai nhãn "(ý đúng)" luôn đi với b2_dung_nghia = Có. hallucination = Có chỉ đi với "Sai vùng…" hoặc "Gold sai / nhiễu".</t>
  </si>
  <si>
    <t>Thời gian</t>
  </si>
  <si>
    <t>≈30–40 giây/dòng; ~60 dòng ≈ 35–45 phút. Chia 2 đợt cho đỡ mỏi.</t>
  </si>
  <si>
    <t>Sau khi xong</t>
  </si>
  <si>
    <t>Báo trưởng nhóm. Không cần gửi file — trưởng nhóm tự tải về.</t>
  </si>
  <si>
    <t>người đàn ông cưỡi một con ngựa ở đâu</t>
  </si>
  <si>
    <t>chuồng</t>
  </si>
  <si>
    <t>sân vận động</t>
  </si>
  <si>
    <t>Khác</t>
  </si>
  <si>
    <t>Không</t>
  </si>
  <si>
    <t>Đấu trường rodeo có khán đài; 'sân vận động' gần nhưng khác gold 'chuồng' (corral). Không bịa vật thể.</t>
  </si>
  <si>
    <t>Hoàng</t>
  </si>
  <si>
    <t>chim bắn nước tung tóe ở đâu</t>
  </si>
  <si>
    <t>bồn tắm</t>
  </si>
  <si>
    <t>bồn</t>
  </si>
  <si>
    <t>Định dạng / độ dài (ý đúng)</t>
  </si>
  <si>
    <t>Có</t>
  </si>
  <si>
    <t>Bồn tắm chim; B2 thiếu chữ 'tắm'.</t>
  </si>
  <si>
    <t>một số xoài và chuối được đặt ở đâu</t>
  </si>
  <si>
    <t>đĩa ăn</t>
  </si>
  <si>
    <t>bát</t>
  </si>
  <si>
    <t>Đồng nghĩa / khác từ (ý đúng)</t>
  </si>
  <si>
    <t>Đĩa vuông sâu lòng, gọi 'bát' chấp nhận được.</t>
  </si>
  <si>
    <t>những trái cam được đặt ở đâu</t>
  </si>
  <si>
    <t>cái rổ</t>
  </si>
  <si>
    <t>chậu</t>
  </si>
  <si>
    <t>Cam trong rổ inox (colander) đặt trong bồn rửa; 'chậu' sai vật chứa.</t>
  </si>
  <si>
    <t>nhóm ăn gì ở bàn có đĩa màu đỏ và trắng</t>
  </si>
  <si>
    <t>bữa ăn tối</t>
  </si>
  <si>
    <t>bữa ăn</t>
  </si>
  <si>
    <t>Thiếu chữ 'tối'.</t>
  </si>
  <si>
    <t>người đàn ông giao những gì theo dõi khán giả</t>
  </si>
  <si>
    <t>quả bóng</t>
  </si>
  <si>
    <t>vợt</t>
  </si>
  <si>
    <t>Câu hỏi dịch máy ('serve' -&gt; 'giao'); đáp án là quả bóng, B2 nêu cây vợt có trong ảnh.</t>
  </si>
  <si>
    <t>những gì chuyến tàu di chuyển nhanh chóng, mọi thứ xung quanh mờ nhạt</t>
  </si>
  <si>
    <t>đường sắt</t>
  </si>
  <si>
    <t>tàu hỏa</t>
  </si>
  <si>
    <t>câu trả lời là đường sắt nhưng B2 lại trả lời là tàu hỏa</t>
  </si>
  <si>
    <t>cái gì cùng với cam, cà rốt, bông cải xanh và các loại thực phẩm khác</t>
  </si>
  <si>
    <t>quả táo</t>
  </si>
  <si>
    <t>táo</t>
  </si>
  <si>
    <t>Thiếu chữ 'quả'.</t>
  </si>
  <si>
    <t>em bé đang ngồi ở đâu</t>
  </si>
  <si>
    <t>găng tay</t>
  </si>
  <si>
    <t>giường</t>
  </si>
  <si>
    <t>Sai vùng / không có trong ảnh (hallucination)</t>
  </si>
  <si>
    <t>gold là găng tay nhưng b2 là trên giường</t>
  </si>
  <si>
    <t>người phụ nữ đang đứng ở đâu khi uống đồ uống</t>
  </si>
  <si>
    <t>nhà vệ sinh</t>
  </si>
  <si>
    <t>phòng tắm</t>
  </si>
  <si>
    <t>Nhà vệ sinh công cộng; 'phòng tắm' đồng nghĩa.</t>
  </si>
  <si>
    <t>hieu_chinh</t>
  </si>
  <si>
    <t>nơi để đồ cho trẻ mới biết đi và đeo ván trượt, mỉm cười trước ống kính ở đâu</t>
  </si>
  <si>
    <t>trượt tuyết</t>
  </si>
  <si>
    <t>đường bộ</t>
  </si>
  <si>
    <t>Khu vực trượt tuyết trắng xóa; B2 trả lời 'đường bộ' không có trong ảnh.</t>
  </si>
  <si>
    <t>màu của quả táo là gì</t>
  </si>
  <si>
    <t>màu cam</t>
  </si>
  <si>
    <t>màu xanh lá</t>
  </si>
  <si>
    <t>Gold sai / nhiễu</t>
  </si>
  <si>
    <t>Quả táo trong ảnh thực tế màu xanh lá (quả màu cam là quả cam); gold sai.</t>
  </si>
  <si>
    <t>những gì được lót bằng cây xanh bên cạnh băng ghế công viên</t>
  </si>
  <si>
    <t>lối đi</t>
  </si>
  <si>
    <t>Lối đi bộ trong công viên lót gạch; B2 gọi 'đường bộ' khác từ nhưng cùng chỉ con đường này.</t>
  </si>
  <si>
    <t>người đàn ông trên ván trượt tuyết rơi xuống cái gì</t>
  </si>
  <si>
    <t>núi</t>
  </si>
  <si>
    <t>vách đá</t>
  </si>
  <si>
    <t>Vận động viên trượt ván tuyết nhảy từ vách đá trên núi; B2 trả lời 'vách đá' đúng thực tế.</t>
  </si>
  <si>
    <t>những gì được hiển thị với thức ăn bên trong</t>
  </si>
  <si>
    <t>tủ đông</t>
  </si>
  <si>
    <t>tủ đá</t>
  </si>
  <si>
    <t>'Tủ đá' và 'tủ đông' là hai từ đồng nghĩa cùng chỉ thiết bị làm lạnh chứa thực phẩm.</t>
  </si>
  <si>
    <t>màu của đĩa là gì</t>
  </si>
  <si>
    <t>màu vàng</t>
  </si>
  <si>
    <t>Đĩa ném (frisbee) trong ảnh màu vàng rõ rệt; màu xanh lá là cây phía sau; gold sai.</t>
  </si>
  <si>
    <t>con chó canh gác đang ngồi ở đâu và chạy đi</t>
  </si>
  <si>
    <t>ca nô</t>
  </si>
  <si>
    <t>con thuyền</t>
  </si>
  <si>
    <t>Chó ngồi trên ca nô (canoe); B2 gọi 'con thuyền' là từ bao hàm/đồng nghĩa chấp nhận được.</t>
  </si>
  <si>
    <t>nhà vệ sinh đã dời đi đâu</t>
  </si>
  <si>
    <t>buồng</t>
  </si>
  <si>
    <t>hộp</t>
  </si>
  <si>
    <t>Bồn cầu đặt trong tủ gỗ dạng buồng (cabinet); B2 dịch 'hộp' không tự nhiên nhưng không bịa vật thể.</t>
  </si>
  <si>
    <t>cái bánh rán mờ nào trên đĩa với một tách cà phê và một chiếc hộp đựng khăn ăn cho chim cánh cụt</t>
  </si>
  <si>
    <t>sô cô la</t>
  </si>
  <si>
    <t>donut</t>
  </si>
  <si>
    <t>Câu hỏi hỏi loại bánh rán nào (gold: sô cô la); B2 lặp lại 'donut' nên chưa đúng trọng tâm.</t>
  </si>
  <si>
    <t>chuyến tàu nào ra khỏi nhà ga</t>
  </si>
  <si>
    <t>tàu</t>
  </si>
  <si>
    <t>'Tàu hỏa' làm rõ nghĩa cho 'tàu', chỉ thừa chữ 'hỏa'; ý đúng.</t>
  </si>
  <si>
    <t>vitextvqa</t>
  </si>
  <si>
    <t>tuyên nguyễn là tên của cửa tiệm chuyên việc gì ?</t>
  </si>
  <si>
    <t>photocopy</t>
  </si>
  <si>
    <t>photo - coppy</t>
  </si>
  <si>
    <t>B2 đọc đúng chữ 'PHOTO COPPY' trên biển hiệu; chỉ khác dấu gạch nối và khoảng trắng.</t>
  </si>
  <si>
    <t>nội dung bức hình là gì ?</t>
  </si>
  <si>
    <t>hoa kì phản đối hành vi gây hấn và khiêu khích của trung quốc</t>
  </si>
  <si>
    <t>hoa kỳ phản đối hành vi gây hấn và khiêu khích của trung quốc</t>
  </si>
  <si>
    <t>Biển hiệu ghi 'HOA KỲ'; B2 đọc đúng chữ 'kỳ' trong ảnh, gold dùng 'kì' (khác chính tả i/y).</t>
  </si>
  <si>
    <t>cửa hàng bên phải tên gì ?</t>
  </si>
  <si>
    <t>organic celery</t>
  </si>
  <si>
    <t>organic</t>
  </si>
  <si>
    <t>B2 đọc đúng tên chính 'organic' trên biển, chỉ thiếu chữ phụ 'celery'.</t>
  </si>
  <si>
    <t>đây là nước nào ?</t>
  </si>
  <si>
    <t>nước cộng hòa xã hội chủ nghĩa việt nam</t>
  </si>
  <si>
    <t>cộng hòa xã hội chủ nghĩa việt nam</t>
  </si>
  <si>
    <t>B2 chỉ thiếu chữ 'nước' ở đầu; nội dung đầy đủ và chính xác.</t>
  </si>
  <si>
    <t>chủ tiệm mắt kính là ai ?</t>
  </si>
  <si>
    <t>dr . minh tây</t>
  </si>
  <si>
    <t>dr . minh tay</t>
  </si>
  <si>
    <t>Sai dấu thanh</t>
  </si>
  <si>
    <t>B2 thiếu dấu nón ở chữ 'tây' thành 'tay', đúng như ví dụ trong hướng dẫn.</t>
  </si>
  <si>
    <t>quãng đường đến ubnd xã bình châu còn bao lâu ?</t>
  </si>
  <si>
    <t>2 km</t>
  </si>
  <si>
    <t>2km</t>
  </si>
  <si>
    <t>B2 chỉ khác khoảng trắng giữa số và đơn vị ('2km' vs '2 km'); đúng hoàn toàn.</t>
  </si>
  <si>
    <t>bức hình đề cập đến điều gì ?</t>
  </si>
  <si>
    <t>chợ sale sài gòn</t>
  </si>
  <si>
    <t>chợ sài gòn</t>
  </si>
  <si>
    <t>B2 bỏ sót chữ 'sale' trong tên logo 'Chợ Sale Sài Gòn', chỉ trả lời 'chợ sài gòn'.</t>
  </si>
  <si>
    <t>số điện thoại hotline để liên lạc cho yamaguchi là gì ?</t>
  </si>
  <si>
    <t>036 456 8777 - 081 777 6986</t>
  </si>
  <si>
    <t>035 456 8777 081 777 6986</t>
  </si>
  <si>
    <t>Đọc chữ sai (OCR)</t>
  </si>
  <si>
    <t>B2 đọc đúng vị trí hotline nhưng OCR nhầm số 6 thành 5 ('035' thay vì '036').</t>
  </si>
  <si>
    <t>trái cây ở tiệm mỹ nhàn được cung cấp như thế nào ?</t>
  </si>
  <si>
    <t>nhập khẩu</t>
  </si>
  <si>
    <t>chưa loại dụng cụ</t>
  </si>
  <si>
    <t>B2 đọc nhầm sang dòng chữ trên biển hiệu khác ở bên trái ảnh ('chứa các loại dụng cụ').</t>
  </si>
  <si>
    <t>gian hàng này của ai ?</t>
  </si>
  <si>
    <t>tổng cục quản lý thị trường cục quản lý thị trường</t>
  </si>
  <si>
    <t>tổng cục quản lý thị trường cục quản lý thị trường tỉnh bắc ninh</t>
  </si>
  <si>
    <t>Biển ghi 'Cục QLTT tỉnh Bắc Ninh'; B2 đọc đầy đủ cả tên tỉnh, chuẩn xác hơn gold.</t>
  </si>
  <si>
    <t>rieng</t>
  </si>
  <si>
    <t>có bao nhiêu người đàn ông đi xe đạp với một đống chuối lớn</t>
  </si>
  <si>
    <t>hai</t>
  </si>
  <si>
    <t>ba</t>
  </si>
  <si>
    <t>Đếm sai</t>
  </si>
  <si>
    <t>Câu hỏi đếm số người đi xe đạp; B2 đếm thành 3 (có thể tính cả 2 người đi xe máy phía sau).</t>
  </si>
  <si>
    <t>xe máy cổ điển đang đậu ở đâu</t>
  </si>
  <si>
    <t>đường phố</t>
  </si>
  <si>
    <t>sân</t>
  </si>
  <si>
    <t>Xe máy đang đỗ trên thảm cỏ trong sân/vườn, không phải trên đường phố; gold sai, B2 đúng thực tế.</t>
  </si>
  <si>
    <t>những gì chứa đầy cam lát bên cạnh một đống chuối</t>
  </si>
  <si>
    <t>Đĩa giấy trũng lòng đựng cam; B2 gọi là 'bát' thay vì 'đĩa ăn', khác từ nhưng chấp nhận được.</t>
  </si>
  <si>
    <t>cậu bé ngồi ở đâu</t>
  </si>
  <si>
    <t>cái ghế</t>
  </si>
  <si>
    <t>Cậu bé ngồi trên ghế salon dưới máy sấy tóc; không có nhà vệ sinh ở đây.</t>
  </si>
  <si>
    <t>cái gì nằm trên bàn cùng với một máy tính</t>
  </si>
  <si>
    <t>Thiếu chữ 'quả', ý đúng hoàn toàn.</t>
  </si>
  <si>
    <t>màu của con mèo là gì</t>
  </si>
  <si>
    <t>màu nâu</t>
  </si>
  <si>
    <t>Mèo có lông màu vàng cam/vàng nhạt; B2 nhận định 'màu nâu'.</t>
  </si>
  <si>
    <t>con dao và nĩa nằm bên cạnh một vài lát pizza ở đâu</t>
  </si>
  <si>
    <t>món ăn</t>
  </si>
  <si>
    <t>thùng chứa</t>
  </si>
  <si>
    <t>Dao nĩa nằm trên khay nướng bánh kim loại; B2 trả lời 'thùng chứa' không phù hợp ngữ cảnh.</t>
  </si>
  <si>
    <t>người phụ nữ với một chiếc xe đẩy hành lý dính đầu ở đầu</t>
  </si>
  <si>
    <t>cửa</t>
  </si>
  <si>
    <t>Người phụ nữ đang thò đầu vào cửa toa tàu hỏa; B2 trả lời 'tàu hỏa' thay vì vị trí 'cửa'.</t>
  </si>
  <si>
    <t>người đang nằm ở đâu</t>
  </si>
  <si>
    <t>phòng ngủ</t>
  </si>
  <si>
    <t>Người đang nằm trên giường trong phòng ngủ; B2 trả lời 'giường' hoàn toàn đúng và tự nhiên.</t>
  </si>
  <si>
    <t>nhân viên thực phẩm đang đứng ở đâu</t>
  </si>
  <si>
    <t>phòng bếp</t>
  </si>
  <si>
    <t>cửa hàng</t>
  </si>
  <si>
    <t>Nhân viên làm việc trong cửa hàng ăn nhanh; B2 dùng 'cửa hàng' thay cho 'phòng bếp'.</t>
  </si>
  <si>
    <t>màu của bìa là gì</t>
  </si>
  <si>
    <t>màu đen</t>
  </si>
  <si>
    <t>Câu hỏi dịch từ 'cover' (chăn màu cam) thành 'bìa'; bìa sách cô gái cầm đúng là màu đen; câu hỏi gây nhiễu.</t>
  </si>
  <si>
    <t>những người đang ngồi ở bàn là gì và ăn</t>
  </si>
  <si>
    <t>Thiếu chữ 'tối', ý đúng.</t>
  </si>
  <si>
    <t>cái gì đang bay trên nước xanh</t>
  </si>
  <si>
    <t>hải âu</t>
  </si>
  <si>
    <t>con chim</t>
  </si>
  <si>
    <t>Hải âu là loài chim; B2 trả lời 'con chim' là từ bao hàm/đồng nghĩa chấp nhận được.</t>
  </si>
  <si>
    <t>màu của tường là gì</t>
  </si>
  <si>
    <t>Tường sơn màu be/vàng nhạt; B2 nhận định 'màu nâu'.</t>
  </si>
  <si>
    <t>những gì hiển thị pizza sẵn sàng để bán</t>
  </si>
  <si>
    <t>cửa tiệm</t>
  </si>
  <si>
    <t>'Cửa hàng' và 'cửa tiệm' là hai từ đồng nghĩa hoàn toàn.</t>
  </si>
  <si>
    <t>những gì được xếp hàng để được đổ rác</t>
  </si>
  <si>
    <t>tủ lạnh</t>
  </si>
  <si>
    <t>'Tủ đá' và 'tủ lạnh' cùng chỉ thiết bị làm lạnh phế thải được xếp hàng.</t>
  </si>
  <si>
    <t>giường tầng đang đặt ở đâu</t>
  </si>
  <si>
    <t>phòng</t>
  </si>
  <si>
    <t>Giường tầng đặt trong phòng ngủ; B2 trả lời 'phòng ngủ' chính xác và cụ thể hơn gold 'phòng'.</t>
  </si>
  <si>
    <t>cái gì đang ngồi bên cạnh một đoàn tàu màu xanh lá cây</t>
  </si>
  <si>
    <t>xe ô tô</t>
  </si>
  <si>
    <t>Gold bị dịch sai từ 'railcar/train car' thành 'xe ô tô'; thực tế là đoàn tàu hỏa chạy song song; B2 đúng.</t>
  </si>
  <si>
    <t>món ăn trong lò nướng đặt ở đâu</t>
  </si>
  <si>
    <t>Khuôn thủy tinh sâu lòng trong lò nướng; B2 gọi 'bát' thay vì 'đĩa ăn', khác từ nhưng chấp nhận được.</t>
  </si>
  <si>
    <t>ba con hươu cao cổ của họ trông ở đâu</t>
  </si>
  <si>
    <t>rào chắn</t>
  </si>
  <si>
    <t>Hươu cao cổ được nuôi trong khu chuồng có rào chắn; B2 trả lời 'chuồng' phù hợp ngữ cảnh.</t>
  </si>
  <si>
    <t>số điện thoại liên lạc cho tiệm gia phú là gì ?</t>
  </si>
  <si>
    <t>0702 200 670 - 0707 219 670</t>
  </si>
  <si>
    <t>0702 200 670 - 0702 219 670</t>
  </si>
  <si>
    <t>Số điện thoại trên biển thực tế là 0702 219 670; gold ghi nhầm thành 0707; B2 đọc đúng.</t>
  </si>
  <si>
    <t>dàn sản phẩm trong ảnh là gì ?</t>
  </si>
  <si>
    <t>táo &amp; kiwi new zealand</t>
  </si>
  <si>
    <t>táo &amp; kiwi</t>
  </si>
  <si>
    <t>B2 đọc đúng thiếu new zealand</t>
  </si>
  <si>
    <t>quảng cáo nhân thuộc công ty nào ?</t>
  </si>
  <si>
    <t>cty tnhh mtv thiết kế &amp; thi công</t>
  </si>
  <si>
    <t>nihan</t>
  </si>
  <si>
    <t>B2 trả lời sai</t>
  </si>
  <si>
    <t>hội nghị đang diễn ra có tên là gì ?</t>
  </si>
  <si>
    <t>triển khai mô hình " đồng hành cùng f0 " trong trạng thái bình thường mới</t>
  </si>
  <si>
    <t>triển khai mô hình " đồng hành cùng f9 " trong trạng thái bình thường mới</t>
  </si>
  <si>
    <t>B2 đọc nhầm F0 thành F9</t>
  </si>
  <si>
    <t>số điện thoại trên cột sắt là bao nhiêu ?</t>
  </si>
  <si>
    <t>0915327232</t>
  </si>
  <si>
    <t>723139</t>
  </si>
  <si>
    <t>B2 xác định được vị trí đọc nhưng không đọc ra được số điện thoại đúng</t>
  </si>
  <si>
    <t>ở đây chuyên bán hàng gì ?</t>
  </si>
  <si>
    <t>chuyên bỏ sỉ</t>
  </si>
  <si>
    <t>bỏ sỉ</t>
  </si>
  <si>
    <t>thiếu chữ chuyên</t>
  </si>
  <si>
    <t>siêu thị này đang có chương trình trò chơi gì ?</t>
  </si>
  <si>
    <t>đố vui trực tuyến</t>
  </si>
  <si>
    <t>tyty xu</t>
  </si>
  <si>
    <t xml:space="preserve">ảnh trong hình chữ đố vui trực tuyến quá mờ nên không đọc được  </t>
  </si>
  <si>
    <t>cửa hàng bơ vàng bán loại hàng gì ?</t>
  </si>
  <si>
    <t>lưu niệm</t>
  </si>
  <si>
    <t>souvenir shop</t>
  </si>
  <si>
    <t>Code-switching (tiếng Anh)</t>
  </si>
  <si>
    <t>b2 trả lời bằng tiếng anh thay vì tiếng việt</t>
  </si>
  <si>
    <t>sản phẩm này do công ty nào sản xuât ?</t>
  </si>
  <si>
    <t>cty tnhh sx và tm toàn gia phú</t>
  </si>
  <si>
    <t>cty tnhh sx &amp; tm toàn gia phú</t>
  </si>
  <si>
    <t>b2 đọc đúng hết chỉ đổi kí tự tôi thấy không sao</t>
  </si>
  <si>
    <t>sogan của xe là gì ?</t>
  </si>
  <si>
    <t>đón nhà vô địch du lịch châu âu</t>
  </si>
  <si>
    <t>đoàn nhà vô địch du lịch châu âu !</t>
  </si>
  <si>
    <t>đáp án gold nhiễu sai nhưng b2 lại đọc đúng</t>
  </si>
  <si>
    <t>hotline trong ảnh là gì ?</t>
  </si>
  <si>
    <t>0979 815 284</t>
  </si>
  <si>
    <t>0979 812 284</t>
  </si>
  <si>
    <t>đọc đúng hết nhầm số 5 thành số 2</t>
  </si>
  <si>
    <t>đây là hẻm như thế nào ?</t>
  </si>
  <si>
    <t>hẻm tự quản " bảo vệ vùng xanh "</t>
  </si>
  <si>
    <t>hẻm tự quản</t>
  </si>
  <si>
    <t>b2 trả lời đúng ngắn gọn nhưng thiếu bảo vệ vùng xanh</t>
  </si>
  <si>
    <t>nguồn của bức ảnh này là gì ?</t>
  </si>
  <si>
    <t>bđo</t>
  </si>
  <si>
    <t>bdo</t>
  </si>
  <si>
    <t xml:space="preserve">B2 thiếu dấu gạch ngang của chữ 'đ' </t>
  </si>
  <si>
    <t>thành phố cách địa điểm này 87km là thành phố gì ?</t>
  </si>
  <si>
    <t>tp . đông hà</t>
  </si>
  <si>
    <t>đông hà</t>
  </si>
  <si>
    <t>trả lời đúng nhưng thiếu tp.</t>
  </si>
  <si>
    <t>hướng đi thẳng sẽ dẫn tới chỗ nào ?</t>
  </si>
  <si>
    <t>pắc bó</t>
  </si>
  <si>
    <t>tp . c</t>
  </si>
  <si>
    <t>cửa hàng kim phượng 2 có bán những gì ?</t>
  </si>
  <si>
    <t>gạch men - gạch đá - ngói lợp - thiết bị vệ sinh cao cấp</t>
  </si>
  <si>
    <t>gạch men - gạch đá - ngói lợp - thiết bị vệ sinh cho căn</t>
  </si>
  <si>
    <t>đọc đúng hết chỉ sai chỗ cuối thành cho căn</t>
  </si>
  <si>
    <t>cửa hàng này có tên là gì ?</t>
  </si>
  <si>
    <t>bewter</t>
  </si>
  <si>
    <t>beater</t>
  </si>
  <si>
    <t>Tên shop trên biển là 'Beuter'; gold gõ lỗi telex thành 'bewter'; B2 OCR nhầm thành 'beater'.</t>
  </si>
  <si>
    <t>đường này cấm các phương tiện nào vào khung giờ cố định ?</t>
  </si>
  <si>
    <t>phương tiện cơ giới và thô sơ</t>
  </si>
  <si>
    <t>giấy xe máy , xe đạp , xe tay ga</t>
  </si>
  <si>
    <t>không thấy giấy xe máy,xe đạp,xe tay ga ở đâu cả</t>
  </si>
  <si>
    <t>tên loại máy hút ẩm bên trái ?</t>
  </si>
  <si>
    <t>fujie</t>
  </si>
  <si>
    <t>hưng gia</t>
  </si>
  <si>
    <t>không biết không thấy hưng gia ở đâu cả</t>
  </si>
  <si>
    <t>kenh14 . vn</t>
  </si>
  <si>
    <t>kem14 . vn</t>
  </si>
  <si>
    <t>đọc đúng vị trí nhưng sai câu trả lời kem14 . vn câu trả lời đúng phải là kenh14 . vn</t>
  </si>
  <si>
    <t>khu nghỉ dưỡng này ở đâu ?</t>
  </si>
  <si>
    <t>cat ba</t>
  </si>
  <si>
    <t>cat ba beach resort</t>
  </si>
  <si>
    <t>đọc đúng và đầy đủ hơn b1</t>
  </si>
  <si>
    <t>ảnh lấy nguồn từ đâu ?</t>
  </si>
  <si>
    <t>tranh treo tường amia . com</t>
  </si>
  <si>
    <t>tranh treo tùng amia . com</t>
  </si>
  <si>
    <t>đọc đúng hết nhưng chỉ sai chỗ tường thành tùng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</si>
</sst>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3294B"/>
        <bgColor rgb="FF13294B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3" fontId="3" numFmtId="49" xfId="0" applyAlignment="1" applyFill="1" applyFont="1" applyNumberFormat="1">
      <alignment readingOrder="0"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4" fontId="3" numFmtId="49" xfId="0" applyAlignment="1" applyFill="1" applyFont="1" applyNumberFormat="1">
      <alignment readingOrder="0" shrinkToFit="0" vertical="top" wrapText="1"/>
    </xf>
    <xf borderId="0" fillId="4" fontId="5" numFmtId="49" xfId="0" applyAlignment="1" applyFill="1" applyFont="1" applyNumberFormat="1">
      <alignment readingOrder="0" shrinkToFit="0" vertical="top" wrapText="1"/>
    </xf>
    <xf borderId="0" fillId="3" fontId="6" numFmtId="49" xfId="0" applyAlignment="1" applyFill="1" applyFont="1" applyNumberFormat="1">
      <alignment shrinkToFit="0" vertical="top" wrapText="1"/>
    </xf>
    <xf borderId="0" fillId="3" fontId="6" numFmtId="49" xfId="0" applyAlignment="1" applyFill="1" applyFont="1" applyNumberFormat="1">
      <alignment readingOrder="0" vertical="top"/>
    </xf>
    <xf borderId="0" fillId="3" fontId="6" numFmtId="49" xfId="0" applyAlignment="1" applyFill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02.63"/>
  </cols>
  <sheetData>
    <row r="1">
      <c r="A1" s="1" t="s">
        <v>0</v>
      </c>
    </row>
    <row r="3">
      <c r="A3" s="3" t="s">
        <v>2</v>
      </c>
      <c r="B3" s="3" t="s">
        <v>5</v>
      </c>
    </row>
    <row r="4">
      <c r="A4" s="3" t="s">
        <v>7</v>
      </c>
      <c r="B4" s="3" t="s">
        <v>9</v>
      </c>
    </row>
    <row r="5">
      <c r="A5" s="3" t="s">
        <v>11</v>
      </c>
      <c r="B5" s="3" t="s">
        <v>12</v>
      </c>
    </row>
    <row r="6">
      <c r="A6" s="3" t="s">
        <v>14</v>
      </c>
      <c r="B6" s="3" t="s">
        <v>15</v>
      </c>
    </row>
    <row r="7">
      <c r="A7" s="3" t="s">
        <v>16</v>
      </c>
      <c r="B7" s="4"/>
    </row>
    <row r="8">
      <c r="A8" s="3" t="s">
        <v>21</v>
      </c>
      <c r="B8" s="3" t="s">
        <v>23</v>
      </c>
    </row>
    <row r="9">
      <c r="A9" s="3" t="s">
        <v>24</v>
      </c>
      <c r="B9" s="3" t="s">
        <v>25</v>
      </c>
    </row>
    <row r="10">
      <c r="A10" s="3" t="s">
        <v>26</v>
      </c>
      <c r="B10" s="3" t="s">
        <v>27</v>
      </c>
    </row>
    <row r="11">
      <c r="A11" s="3" t="s">
        <v>28</v>
      </c>
      <c r="B11" s="3" t="s">
        <v>29</v>
      </c>
    </row>
    <row r="12">
      <c r="A12" s="3" t="s">
        <v>30</v>
      </c>
      <c r="B12" s="3" t="s">
        <v>31</v>
      </c>
    </row>
    <row r="13">
      <c r="A13" s="3" t="s">
        <v>32</v>
      </c>
      <c r="B13" s="3" t="s">
        <v>33</v>
      </c>
    </row>
    <row r="14">
      <c r="A14" s="3" t="s">
        <v>34</v>
      </c>
      <c r="B14" s="3" t="s">
        <v>35</v>
      </c>
    </row>
    <row r="15">
      <c r="A15" s="3" t="s">
        <v>37</v>
      </c>
      <c r="B15" s="3" t="s">
        <v>38</v>
      </c>
    </row>
    <row r="16">
      <c r="A16" s="3" t="s">
        <v>39</v>
      </c>
      <c r="B16" s="3" t="s">
        <v>40</v>
      </c>
    </row>
    <row r="17">
      <c r="A17" s="3" t="s">
        <v>18</v>
      </c>
      <c r="B17" s="3" t="s">
        <v>42</v>
      </c>
    </row>
    <row r="18">
      <c r="A18" s="3" t="s">
        <v>19</v>
      </c>
      <c r="B18" s="3" t="s">
        <v>43</v>
      </c>
    </row>
    <row r="19">
      <c r="A19" s="3" t="s">
        <v>44</v>
      </c>
      <c r="B19" s="3" t="s">
        <v>45</v>
      </c>
    </row>
    <row r="20">
      <c r="A20" s="3" t="s">
        <v>46</v>
      </c>
      <c r="B20" s="3" t="s">
        <v>47</v>
      </c>
    </row>
    <row r="21">
      <c r="A21" s="3" t="s">
        <v>48</v>
      </c>
      <c r="B21" s="3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38"/>
    <col customWidth="1" min="2" max="3" width="10.75"/>
    <col customWidth="1" min="4" max="4" width="21.38"/>
    <col customWidth="1" min="5" max="5" width="41.38"/>
    <col customWidth="1" min="6" max="7" width="27.63"/>
    <col customWidth="1" min="8" max="8" width="31.38"/>
    <col customWidth="1" min="9" max="10" width="13.25"/>
    <col customWidth="1" min="11" max="11" width="30.13"/>
    <col customWidth="1" min="12" max="12" width="13.88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13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22</v>
      </c>
    </row>
    <row r="2">
      <c r="A2" s="5">
        <v>1.0</v>
      </c>
      <c r="B2" s="6" t="s">
        <v>36</v>
      </c>
      <c r="C2" s="6" t="s">
        <v>41</v>
      </c>
      <c r="D2" s="7" t="str">
        <f>HYPERLINK("https://drive.google.com/file/d/1rUzBPRxi6Hs9f_tKGB_Mjs5S7JrCbUQl/view?usp=drivesdk","COCO_train2014_000000142563.jpg")</f>
        <v>COCO_train2014_000000142563.jpg</v>
      </c>
      <c r="E2" s="6" t="s">
        <v>50</v>
      </c>
      <c r="F2" s="6" t="s">
        <v>51</v>
      </c>
      <c r="G2" s="6" t="s">
        <v>52</v>
      </c>
      <c r="H2" s="8" t="s">
        <v>53</v>
      </c>
      <c r="I2" s="8" t="s">
        <v>54</v>
      </c>
      <c r="J2" s="8" t="s">
        <v>54</v>
      </c>
      <c r="K2" s="8" t="s">
        <v>55</v>
      </c>
      <c r="L2" s="8" t="s">
        <v>56</v>
      </c>
    </row>
    <row r="3">
      <c r="A3" s="5">
        <v>2.0</v>
      </c>
      <c r="B3" s="6" t="s">
        <v>36</v>
      </c>
      <c r="C3" s="6" t="s">
        <v>41</v>
      </c>
      <c r="D3" s="7" t="str">
        <f>HYPERLINK("https://drive.google.com/file/d/1jOaWkKjsDbwdAEPyICpsv5YeXgJrZjrE/view?usp=drivesdk","COCO_val2014_000000161470.jpg")</f>
        <v>COCO_val2014_000000161470.jpg</v>
      </c>
      <c r="E3" s="6" t="s">
        <v>57</v>
      </c>
      <c r="F3" s="6" t="s">
        <v>58</v>
      </c>
      <c r="G3" s="6" t="s">
        <v>59</v>
      </c>
      <c r="H3" s="8" t="s">
        <v>60</v>
      </c>
      <c r="I3" s="8" t="s">
        <v>61</v>
      </c>
      <c r="J3" s="8" t="s">
        <v>54</v>
      </c>
      <c r="K3" s="8" t="s">
        <v>62</v>
      </c>
      <c r="L3" s="8" t="s">
        <v>56</v>
      </c>
    </row>
    <row r="4">
      <c r="A4" s="5">
        <v>3.0</v>
      </c>
      <c r="B4" s="6" t="s">
        <v>36</v>
      </c>
      <c r="C4" s="6" t="s">
        <v>41</v>
      </c>
      <c r="D4" s="7" t="str">
        <f>HYPERLINK("https://drive.google.com/file/d/1Dckoqnl6Xyx1MKAth1gvg05xKdPQo9NM/view?usp=drivesdk","COCO_train2014_000000237762.jpg")</f>
        <v>COCO_train2014_000000237762.jpg</v>
      </c>
      <c r="E4" s="6" t="s">
        <v>63</v>
      </c>
      <c r="F4" s="6" t="s">
        <v>64</v>
      </c>
      <c r="G4" s="6" t="s">
        <v>65</v>
      </c>
      <c r="H4" s="8" t="s">
        <v>66</v>
      </c>
      <c r="I4" s="8" t="s">
        <v>61</v>
      </c>
      <c r="J4" s="8" t="s">
        <v>54</v>
      </c>
      <c r="K4" s="8" t="s">
        <v>67</v>
      </c>
      <c r="L4" s="8" t="s">
        <v>56</v>
      </c>
    </row>
    <row r="5">
      <c r="A5" s="5">
        <v>4.0</v>
      </c>
      <c r="B5" s="6" t="s">
        <v>36</v>
      </c>
      <c r="C5" s="6" t="s">
        <v>41</v>
      </c>
      <c r="D5" s="7" t="str">
        <f>HYPERLINK("https://drive.google.com/file/d/1jGtFHKsy53os_dv79EM47ku0XBTmdGPW/view?usp=drivesdk","COCO_train2014_000000287998.jpg")</f>
        <v>COCO_train2014_000000287998.jpg</v>
      </c>
      <c r="E5" s="6" t="s">
        <v>68</v>
      </c>
      <c r="F5" s="6" t="s">
        <v>69</v>
      </c>
      <c r="G5" s="6" t="s">
        <v>70</v>
      </c>
      <c r="H5" s="8" t="s">
        <v>53</v>
      </c>
      <c r="I5" s="8" t="s">
        <v>54</v>
      </c>
      <c r="J5" s="8" t="s">
        <v>54</v>
      </c>
      <c r="K5" s="8" t="s">
        <v>71</v>
      </c>
      <c r="L5" s="8" t="s">
        <v>56</v>
      </c>
    </row>
    <row r="6">
      <c r="A6" s="5">
        <v>5.0</v>
      </c>
      <c r="B6" s="6" t="s">
        <v>36</v>
      </c>
      <c r="C6" s="6" t="s">
        <v>41</v>
      </c>
      <c r="D6" s="7" t="str">
        <f>HYPERLINK("https://drive.google.com/file/d/1t5ELGqkWQMDwXzlWEMhuVnKTyiJgPX36/view?usp=drivesdk","COCO_val2014_000000558633.jpg")</f>
        <v>COCO_val2014_000000558633.jpg</v>
      </c>
      <c r="E6" s="6" t="s">
        <v>72</v>
      </c>
      <c r="F6" s="6" t="s">
        <v>73</v>
      </c>
      <c r="G6" s="6" t="s">
        <v>74</v>
      </c>
      <c r="H6" s="8" t="s">
        <v>60</v>
      </c>
      <c r="I6" s="8" t="s">
        <v>61</v>
      </c>
      <c r="J6" s="8" t="s">
        <v>54</v>
      </c>
      <c r="K6" s="8" t="s">
        <v>75</v>
      </c>
      <c r="L6" s="8" t="s">
        <v>56</v>
      </c>
    </row>
    <row r="7">
      <c r="A7" s="5">
        <v>6.0</v>
      </c>
      <c r="B7" s="6" t="s">
        <v>36</v>
      </c>
      <c r="C7" s="6" t="s">
        <v>41</v>
      </c>
      <c r="D7" s="7" t="str">
        <f>HYPERLINK("https://drive.google.com/file/d/1QnUHPWE4NltSL2AHZZQe8JpstmaQn4PF/view?usp=drivesdk","COCO_val2014_000000477010.jpg")</f>
        <v>COCO_val2014_000000477010.jpg</v>
      </c>
      <c r="E7" s="6" t="s">
        <v>76</v>
      </c>
      <c r="F7" s="6" t="s">
        <v>77</v>
      </c>
      <c r="G7" s="6" t="s">
        <v>78</v>
      </c>
      <c r="H7" s="8" t="s">
        <v>53</v>
      </c>
      <c r="I7" s="8" t="s">
        <v>54</v>
      </c>
      <c r="J7" s="8" t="s">
        <v>54</v>
      </c>
      <c r="K7" s="8" t="s">
        <v>79</v>
      </c>
      <c r="L7" s="8" t="s">
        <v>56</v>
      </c>
    </row>
    <row r="8">
      <c r="A8" s="5">
        <v>7.0</v>
      </c>
      <c r="B8" s="6" t="s">
        <v>36</v>
      </c>
      <c r="C8" s="6" t="s">
        <v>41</v>
      </c>
      <c r="D8" s="7" t="str">
        <f>HYPERLINK("https://drive.google.com/file/d/1jy9uzEG2n-01qHDLZrL_ZgubPxPth6FV/view?usp=drivesdk","COCO_val2014_000000399274.jpg")</f>
        <v>COCO_val2014_000000399274.jpg</v>
      </c>
      <c r="E8" s="6" t="s">
        <v>80</v>
      </c>
      <c r="F8" s="6" t="s">
        <v>81</v>
      </c>
      <c r="G8" s="6" t="s">
        <v>82</v>
      </c>
      <c r="H8" s="8" t="s">
        <v>53</v>
      </c>
      <c r="I8" s="8" t="s">
        <v>54</v>
      </c>
      <c r="J8" s="8" t="s">
        <v>54</v>
      </c>
      <c r="K8" s="8" t="s">
        <v>83</v>
      </c>
      <c r="L8" s="8" t="s">
        <v>56</v>
      </c>
    </row>
    <row r="9">
      <c r="A9" s="5">
        <v>8.0</v>
      </c>
      <c r="B9" s="6" t="s">
        <v>36</v>
      </c>
      <c r="C9" s="6" t="s">
        <v>41</v>
      </c>
      <c r="D9" s="7" t="str">
        <f>HYPERLINK("https://drive.google.com/file/d/1Kg-B3iK_V6_fJtwMwYXwwLiHfE3Y3oJ9/view?usp=drivesdk","COCO_val2014_000000437789.jpg")</f>
        <v>COCO_val2014_000000437789.jpg</v>
      </c>
      <c r="E9" s="6" t="s">
        <v>84</v>
      </c>
      <c r="F9" s="6" t="s">
        <v>85</v>
      </c>
      <c r="G9" s="6" t="s">
        <v>86</v>
      </c>
      <c r="H9" s="8" t="s">
        <v>60</v>
      </c>
      <c r="I9" s="8" t="s">
        <v>61</v>
      </c>
      <c r="J9" s="8" t="s">
        <v>54</v>
      </c>
      <c r="K9" s="8" t="s">
        <v>87</v>
      </c>
      <c r="L9" s="8" t="s">
        <v>56</v>
      </c>
    </row>
    <row r="10">
      <c r="A10" s="5">
        <v>9.0</v>
      </c>
      <c r="B10" s="6" t="s">
        <v>36</v>
      </c>
      <c r="C10" s="6" t="s">
        <v>41</v>
      </c>
      <c r="D10" s="7" t="str">
        <f>HYPERLINK("https://drive.google.com/file/d/1m3fzz-5a64OVcLgzeQVadNpcDCivrw42/view?usp=drivesdk","COCO_train2014_000000122937.jpg")</f>
        <v>COCO_train2014_000000122937.jpg</v>
      </c>
      <c r="E10" s="6" t="s">
        <v>88</v>
      </c>
      <c r="F10" s="6" t="s">
        <v>89</v>
      </c>
      <c r="G10" s="6" t="s">
        <v>90</v>
      </c>
      <c r="H10" s="8" t="s">
        <v>91</v>
      </c>
      <c r="I10" s="8" t="s">
        <v>54</v>
      </c>
      <c r="J10" s="8" t="s">
        <v>61</v>
      </c>
      <c r="K10" s="8" t="s">
        <v>92</v>
      </c>
      <c r="L10" s="8" t="s">
        <v>56</v>
      </c>
    </row>
    <row r="11">
      <c r="A11" s="5">
        <v>10.0</v>
      </c>
      <c r="B11" s="6" t="s">
        <v>36</v>
      </c>
      <c r="C11" s="6" t="s">
        <v>41</v>
      </c>
      <c r="D11" s="7" t="str">
        <f>HYPERLINK("https://drive.google.com/file/d/15Rf7hJigGUJuQ8tg4mzJrBhjfA_0zj1w/view?usp=drivesdk","COCO_train2014_000000277746.jpg")</f>
        <v>COCO_train2014_000000277746.jpg</v>
      </c>
      <c r="E11" s="6" t="s">
        <v>93</v>
      </c>
      <c r="F11" s="6" t="s">
        <v>94</v>
      </c>
      <c r="G11" s="6" t="s">
        <v>95</v>
      </c>
      <c r="H11" s="8" t="s">
        <v>66</v>
      </c>
      <c r="I11" s="8" t="s">
        <v>61</v>
      </c>
      <c r="J11" s="8" t="s">
        <v>54</v>
      </c>
      <c r="K11" s="8" t="s">
        <v>96</v>
      </c>
      <c r="L11" s="8" t="s">
        <v>56</v>
      </c>
    </row>
    <row r="12">
      <c r="A12" s="9">
        <v>12.0</v>
      </c>
      <c r="B12" s="10" t="s">
        <v>97</v>
      </c>
      <c r="C12" s="10" t="s">
        <v>41</v>
      </c>
      <c r="D12" s="11" t="str">
        <f>HYPERLINK("https://drive.google.com/file/d/1gQVabNtNzmYuguj4udcOah8Dsmu9BNIS/view?usp=drivesdk","COCO_train2014_000000154547.jpg")</f>
        <v>COCO_train2014_000000154547.jpg</v>
      </c>
      <c r="E12" s="10" t="s">
        <v>98</v>
      </c>
      <c r="F12" s="10" t="s">
        <v>99</v>
      </c>
      <c r="G12" s="10" t="s">
        <v>100</v>
      </c>
      <c r="H12" s="12" t="s">
        <v>91</v>
      </c>
      <c r="I12" s="12" t="s">
        <v>54</v>
      </c>
      <c r="J12" s="12" t="s">
        <v>61</v>
      </c>
      <c r="K12" s="12" t="s">
        <v>101</v>
      </c>
      <c r="L12" s="8" t="s">
        <v>56</v>
      </c>
    </row>
    <row r="13">
      <c r="A13" s="9">
        <v>21.0</v>
      </c>
      <c r="B13" s="10" t="s">
        <v>97</v>
      </c>
      <c r="C13" s="10" t="s">
        <v>41</v>
      </c>
      <c r="D13" s="11" t="str">
        <f>HYPERLINK("https://drive.google.com/file/d/1djqaMLipk7lYfno19tEwbiM1oG63oc1L/view?usp=drivesdk","COCO_train2014_000000415222.jpg")</f>
        <v>COCO_train2014_000000415222.jpg</v>
      </c>
      <c r="E13" s="10" t="s">
        <v>102</v>
      </c>
      <c r="F13" s="10" t="s">
        <v>103</v>
      </c>
      <c r="G13" s="10" t="s">
        <v>104</v>
      </c>
      <c r="H13" s="12" t="s">
        <v>105</v>
      </c>
      <c r="I13" s="12" t="s">
        <v>61</v>
      </c>
      <c r="J13" s="12" t="s">
        <v>54</v>
      </c>
      <c r="K13" s="12" t="s">
        <v>106</v>
      </c>
      <c r="L13" s="8" t="s">
        <v>56</v>
      </c>
    </row>
    <row r="14">
      <c r="A14" s="9">
        <v>26.0</v>
      </c>
      <c r="B14" s="10" t="s">
        <v>97</v>
      </c>
      <c r="C14" s="10" t="s">
        <v>41</v>
      </c>
      <c r="D14" s="11" t="str">
        <f>HYPERLINK("https://drive.google.com/file/d/1IwDmNCGllJe6pNS5qfy16oemegzGH4BZ/view?usp=drivesdk","COCO_val2014_000000558992.jpg")</f>
        <v>COCO_val2014_000000558992.jpg</v>
      </c>
      <c r="E14" s="10" t="s">
        <v>107</v>
      </c>
      <c r="F14" s="10" t="s">
        <v>108</v>
      </c>
      <c r="G14" s="10" t="s">
        <v>100</v>
      </c>
      <c r="H14" s="12" t="s">
        <v>66</v>
      </c>
      <c r="I14" s="12" t="s">
        <v>61</v>
      </c>
      <c r="J14" s="12" t="s">
        <v>54</v>
      </c>
      <c r="K14" s="12" t="s">
        <v>109</v>
      </c>
      <c r="L14" s="8" t="s">
        <v>56</v>
      </c>
    </row>
    <row r="15">
      <c r="A15" s="9">
        <v>37.0</v>
      </c>
      <c r="B15" s="10" t="s">
        <v>97</v>
      </c>
      <c r="C15" s="10" t="s">
        <v>41</v>
      </c>
      <c r="D15" s="11" t="str">
        <f>HYPERLINK("https://drive.google.com/file/d/13XlErpFzcTmrTEp31LIWI5f0tEY0qERl/view?usp=drivesdk","COCO_val2014_000000444263.jpg")</f>
        <v>COCO_val2014_000000444263.jpg</v>
      </c>
      <c r="E15" s="10" t="s">
        <v>110</v>
      </c>
      <c r="F15" s="10" t="s">
        <v>111</v>
      </c>
      <c r="G15" s="10" t="s">
        <v>112</v>
      </c>
      <c r="H15" s="12" t="s">
        <v>66</v>
      </c>
      <c r="I15" s="12" t="s">
        <v>61</v>
      </c>
      <c r="J15" s="12" t="s">
        <v>54</v>
      </c>
      <c r="K15" s="12" t="s">
        <v>113</v>
      </c>
      <c r="L15" s="8" t="s">
        <v>56</v>
      </c>
    </row>
    <row r="16">
      <c r="A16" s="9">
        <v>43.0</v>
      </c>
      <c r="B16" s="10" t="s">
        <v>97</v>
      </c>
      <c r="C16" s="10" t="s">
        <v>41</v>
      </c>
      <c r="D16" s="11" t="str">
        <f>HYPERLINK("https://drive.google.com/file/d/1HHVzD_79_KfhKcH70ZwxhkGbXd1jS-zx/view?usp=drivesdk","COCO_val2014_000000455974.jpg")</f>
        <v>COCO_val2014_000000455974.jpg</v>
      </c>
      <c r="E16" s="10" t="s">
        <v>114</v>
      </c>
      <c r="F16" s="10" t="s">
        <v>115</v>
      </c>
      <c r="G16" s="10" t="s">
        <v>116</v>
      </c>
      <c r="H16" s="12" t="s">
        <v>66</v>
      </c>
      <c r="I16" s="12" t="s">
        <v>61</v>
      </c>
      <c r="J16" s="12" t="s">
        <v>54</v>
      </c>
      <c r="K16" s="12" t="s">
        <v>117</v>
      </c>
      <c r="L16" s="13" t="s">
        <v>56</v>
      </c>
    </row>
    <row r="17">
      <c r="A17" s="9">
        <v>51.0</v>
      </c>
      <c r="B17" s="10" t="s">
        <v>97</v>
      </c>
      <c r="C17" s="10" t="s">
        <v>41</v>
      </c>
      <c r="D17" s="11" t="str">
        <f>HYPERLINK("https://drive.google.com/file/d/1GO56z1GbibGfOMODbDVU4t0RgXISl345/view?usp=drivesdk","COCO_train2014_000000103539.jpg")</f>
        <v>COCO_train2014_000000103539.jpg</v>
      </c>
      <c r="E17" s="10" t="s">
        <v>118</v>
      </c>
      <c r="F17" s="10" t="s">
        <v>104</v>
      </c>
      <c r="G17" s="10" t="s">
        <v>119</v>
      </c>
      <c r="H17" s="12" t="s">
        <v>105</v>
      </c>
      <c r="I17" s="12" t="s">
        <v>61</v>
      </c>
      <c r="J17" s="12" t="s">
        <v>54</v>
      </c>
      <c r="K17" s="12" t="s">
        <v>120</v>
      </c>
      <c r="L17" s="13" t="s">
        <v>56</v>
      </c>
    </row>
    <row r="18">
      <c r="A18" s="9">
        <v>53.0</v>
      </c>
      <c r="B18" s="10" t="s">
        <v>97</v>
      </c>
      <c r="C18" s="10" t="s">
        <v>41</v>
      </c>
      <c r="D18" s="11" t="str">
        <f>HYPERLINK("https://drive.google.com/file/d/1Ky0mWkhky-itL3fsz11K_RxhB5nMjkXH/view?usp=drivesdk","COCO_train2014_000000044814.jpg")</f>
        <v>COCO_train2014_000000044814.jpg</v>
      </c>
      <c r="E18" s="10" t="s">
        <v>121</v>
      </c>
      <c r="F18" s="10" t="s">
        <v>122</v>
      </c>
      <c r="G18" s="10" t="s">
        <v>123</v>
      </c>
      <c r="H18" s="12" t="s">
        <v>66</v>
      </c>
      <c r="I18" s="12" t="s">
        <v>61</v>
      </c>
      <c r="J18" s="12" t="s">
        <v>54</v>
      </c>
      <c r="K18" s="12" t="s">
        <v>124</v>
      </c>
      <c r="L18" s="8" t="s">
        <v>56</v>
      </c>
    </row>
    <row r="19">
      <c r="A19" s="9">
        <v>69.0</v>
      </c>
      <c r="B19" s="10" t="s">
        <v>97</v>
      </c>
      <c r="C19" s="10" t="s">
        <v>41</v>
      </c>
      <c r="D19" s="11" t="str">
        <f>HYPERLINK("https://drive.google.com/file/d/1wH1o8hhRgmIOxBKmiBEbw_oWNqi-RJX2/view?usp=drivesdk","COCO_train2014_000000322852.jpg")</f>
        <v>COCO_train2014_000000322852.jpg</v>
      </c>
      <c r="E19" s="10" t="s">
        <v>125</v>
      </c>
      <c r="F19" s="10" t="s">
        <v>126</v>
      </c>
      <c r="G19" s="10" t="s">
        <v>127</v>
      </c>
      <c r="H19" s="12" t="s">
        <v>53</v>
      </c>
      <c r="I19" s="12" t="s">
        <v>54</v>
      </c>
      <c r="J19" s="12" t="s">
        <v>54</v>
      </c>
      <c r="K19" s="12" t="s">
        <v>128</v>
      </c>
      <c r="L19" s="8" t="s">
        <v>56</v>
      </c>
    </row>
    <row r="20">
      <c r="A20" s="9">
        <v>77.0</v>
      </c>
      <c r="B20" s="10" t="s">
        <v>97</v>
      </c>
      <c r="C20" s="10" t="s">
        <v>41</v>
      </c>
      <c r="D20" s="11" t="str">
        <f>HYPERLINK("https://drive.google.com/file/d/1vmszmYN__9DslGTMPETQqU0S6Cs-GiOM/view?usp=drivesdk","COCO_val2014_000000378605.jpg")</f>
        <v>COCO_val2014_000000378605.jpg</v>
      </c>
      <c r="E20" s="10" t="s">
        <v>129</v>
      </c>
      <c r="F20" s="10" t="s">
        <v>130</v>
      </c>
      <c r="G20" s="10" t="s">
        <v>131</v>
      </c>
      <c r="H20" s="12" t="s">
        <v>53</v>
      </c>
      <c r="I20" s="12" t="s">
        <v>54</v>
      </c>
      <c r="J20" s="12" t="s">
        <v>54</v>
      </c>
      <c r="K20" s="12" t="s">
        <v>132</v>
      </c>
      <c r="L20" s="8" t="s">
        <v>56</v>
      </c>
    </row>
    <row r="21">
      <c r="A21" s="9">
        <v>83.0</v>
      </c>
      <c r="B21" s="10" t="s">
        <v>97</v>
      </c>
      <c r="C21" s="10" t="s">
        <v>41</v>
      </c>
      <c r="D21" s="11" t="str">
        <f>HYPERLINK("https://drive.google.com/file/d/1iEZ8Q_OIGNjUozU1uDqUM3qyPAcEXORU/view?usp=drivesdk","COCO_val2014_000000372794.jpg")</f>
        <v>COCO_val2014_000000372794.jpg</v>
      </c>
      <c r="E21" s="10" t="s">
        <v>133</v>
      </c>
      <c r="F21" s="10" t="s">
        <v>134</v>
      </c>
      <c r="G21" s="10" t="s">
        <v>82</v>
      </c>
      <c r="H21" s="12" t="s">
        <v>60</v>
      </c>
      <c r="I21" s="12" t="s">
        <v>61</v>
      </c>
      <c r="J21" s="12" t="s">
        <v>54</v>
      </c>
      <c r="K21" s="12" t="s">
        <v>135</v>
      </c>
      <c r="L21" s="8" t="s">
        <v>56</v>
      </c>
    </row>
    <row r="22">
      <c r="A22" s="9">
        <v>103.0</v>
      </c>
      <c r="B22" s="10" t="s">
        <v>97</v>
      </c>
      <c r="C22" s="10" t="s">
        <v>136</v>
      </c>
      <c r="D22" s="11" t="str">
        <f>HYPERLINK("https://drive.google.com/file/d/1IiYvqBHFCTM3PO2uGteb40ZIrNjIiSe2/view?usp=drivesdk","3771.jpg")</f>
        <v>3771.jpg</v>
      </c>
      <c r="E22" s="10" t="s">
        <v>137</v>
      </c>
      <c r="F22" s="10" t="s">
        <v>138</v>
      </c>
      <c r="G22" s="10" t="s">
        <v>139</v>
      </c>
      <c r="H22" s="12" t="s">
        <v>60</v>
      </c>
      <c r="I22" s="12" t="s">
        <v>61</v>
      </c>
      <c r="J22" s="12" t="s">
        <v>54</v>
      </c>
      <c r="K22" s="12" t="s">
        <v>140</v>
      </c>
      <c r="L22" s="8" t="s">
        <v>56</v>
      </c>
    </row>
    <row r="23">
      <c r="A23" s="9">
        <v>105.0</v>
      </c>
      <c r="B23" s="10" t="s">
        <v>97</v>
      </c>
      <c r="C23" s="10" t="s">
        <v>136</v>
      </c>
      <c r="D23" s="11" t="str">
        <f>HYPERLINK("https://drive.google.com/file/d/1lcw6S9ZqWTvNNkBj8OPiv4g4giFCJ9mA/view?usp=drivesdk","7894.jpg")</f>
        <v>7894.jpg</v>
      </c>
      <c r="E23" s="10" t="s">
        <v>141</v>
      </c>
      <c r="F23" s="10" t="s">
        <v>142</v>
      </c>
      <c r="G23" s="10" t="s">
        <v>143</v>
      </c>
      <c r="H23" s="12" t="s">
        <v>60</v>
      </c>
      <c r="I23" s="12" t="s">
        <v>61</v>
      </c>
      <c r="J23" s="12" t="s">
        <v>54</v>
      </c>
      <c r="K23" s="12" t="s">
        <v>144</v>
      </c>
      <c r="L23" s="8" t="s">
        <v>56</v>
      </c>
    </row>
    <row r="24">
      <c r="A24" s="9">
        <v>114.0</v>
      </c>
      <c r="B24" s="10" t="s">
        <v>97</v>
      </c>
      <c r="C24" s="10" t="s">
        <v>136</v>
      </c>
      <c r="D24" s="11" t="str">
        <f>HYPERLINK("https://drive.google.com/file/d/1fL18P_1UWFp0FJHk0sznSvd1S_XtjcX6/view?usp=drivesdk","12133.jpg")</f>
        <v>12133.jpg</v>
      </c>
      <c r="E24" s="10" t="s">
        <v>145</v>
      </c>
      <c r="F24" s="10" t="s">
        <v>146</v>
      </c>
      <c r="G24" s="10" t="s">
        <v>147</v>
      </c>
      <c r="H24" s="12" t="s">
        <v>60</v>
      </c>
      <c r="I24" s="12" t="s">
        <v>61</v>
      </c>
      <c r="J24" s="12" t="s">
        <v>54</v>
      </c>
      <c r="K24" s="12" t="s">
        <v>148</v>
      </c>
      <c r="L24" s="8" t="s">
        <v>56</v>
      </c>
    </row>
    <row r="25">
      <c r="A25" s="9">
        <v>123.0</v>
      </c>
      <c r="B25" s="10" t="s">
        <v>97</v>
      </c>
      <c r="C25" s="10" t="s">
        <v>136</v>
      </c>
      <c r="D25" s="11" t="str">
        <f>HYPERLINK("https://drive.google.com/file/d/1tszAqDX3cXCJvwXTdcna3V183BZJldRb/view?usp=drivesdk","11430.jpg")</f>
        <v>11430.jpg</v>
      </c>
      <c r="E25" s="10" t="s">
        <v>149</v>
      </c>
      <c r="F25" s="10" t="s">
        <v>150</v>
      </c>
      <c r="G25" s="10" t="s">
        <v>151</v>
      </c>
      <c r="H25" s="12" t="s">
        <v>60</v>
      </c>
      <c r="I25" s="12" t="s">
        <v>61</v>
      </c>
      <c r="J25" s="12" t="s">
        <v>54</v>
      </c>
      <c r="K25" s="12" t="s">
        <v>152</v>
      </c>
      <c r="L25" s="8" t="s">
        <v>56</v>
      </c>
    </row>
    <row r="26">
      <c r="A26" s="9">
        <v>145.0</v>
      </c>
      <c r="B26" s="10" t="s">
        <v>97</v>
      </c>
      <c r="C26" s="10" t="s">
        <v>136</v>
      </c>
      <c r="D26" s="11" t="str">
        <f>HYPERLINK("https://drive.google.com/file/d/1zjdAywMm7djRQ5nnOm1WyiA9LBHVe7g3/view?usp=drivesdk","9047.jpg")</f>
        <v>9047.jpg</v>
      </c>
      <c r="E26" s="10" t="s">
        <v>153</v>
      </c>
      <c r="F26" s="10" t="s">
        <v>154</v>
      </c>
      <c r="G26" s="10" t="s">
        <v>155</v>
      </c>
      <c r="H26" s="12" t="s">
        <v>156</v>
      </c>
      <c r="I26" s="12" t="s">
        <v>54</v>
      </c>
      <c r="J26" s="12" t="s">
        <v>54</v>
      </c>
      <c r="K26" s="12" t="s">
        <v>157</v>
      </c>
      <c r="L26" s="8" t="s">
        <v>56</v>
      </c>
    </row>
    <row r="27">
      <c r="A27" s="9">
        <v>158.0</v>
      </c>
      <c r="B27" s="10" t="s">
        <v>97</v>
      </c>
      <c r="C27" s="10" t="s">
        <v>136</v>
      </c>
      <c r="D27" s="11" t="str">
        <f>HYPERLINK("https://drive.google.com/file/d/1TshFQB_PjUqKeyApc-IxfkPpcdJ5p68g/view?usp=drivesdk","13000.jpg")</f>
        <v>13000.jpg</v>
      </c>
      <c r="E27" s="10" t="s">
        <v>158</v>
      </c>
      <c r="F27" s="10" t="s">
        <v>159</v>
      </c>
      <c r="G27" s="10" t="s">
        <v>160</v>
      </c>
      <c r="H27" s="12" t="s">
        <v>60</v>
      </c>
      <c r="I27" s="12" t="s">
        <v>61</v>
      </c>
      <c r="J27" s="12" t="s">
        <v>54</v>
      </c>
      <c r="K27" s="12" t="s">
        <v>161</v>
      </c>
      <c r="L27" s="8" t="s">
        <v>56</v>
      </c>
    </row>
    <row r="28">
      <c r="A28" s="9">
        <v>165.0</v>
      </c>
      <c r="B28" s="10" t="s">
        <v>97</v>
      </c>
      <c r="C28" s="10" t="s">
        <v>136</v>
      </c>
      <c r="D28" s="11" t="str">
        <f>HYPERLINK("https://drive.google.com/file/d/1W0h2egdwF_05I9BfL1P_OzhkhQE3DCM-/view?usp=drivesdk","5189.jpg")</f>
        <v>5189.jpg</v>
      </c>
      <c r="E28" s="10" t="s">
        <v>162</v>
      </c>
      <c r="F28" s="10" t="s">
        <v>163</v>
      </c>
      <c r="G28" s="10" t="s">
        <v>164</v>
      </c>
      <c r="H28" s="12" t="s">
        <v>60</v>
      </c>
      <c r="I28" s="12" t="s">
        <v>61</v>
      </c>
      <c r="J28" s="12" t="s">
        <v>54</v>
      </c>
      <c r="K28" s="12" t="s">
        <v>165</v>
      </c>
      <c r="L28" s="8" t="s">
        <v>56</v>
      </c>
    </row>
    <row r="29">
      <c r="A29" s="9">
        <v>167.0</v>
      </c>
      <c r="B29" s="10" t="s">
        <v>97</v>
      </c>
      <c r="C29" s="10" t="s">
        <v>136</v>
      </c>
      <c r="D29" s="11" t="str">
        <f>HYPERLINK("https://drive.google.com/file/d/1eOB7d5TnKnmb6r1j6bNJLiMQA1-Bl9dK/view?usp=drivesdk","4569.jpg")</f>
        <v>4569.jpg</v>
      </c>
      <c r="E29" s="10" t="s">
        <v>166</v>
      </c>
      <c r="F29" s="10" t="s">
        <v>167</v>
      </c>
      <c r="G29" s="10" t="s">
        <v>168</v>
      </c>
      <c r="H29" s="12" t="s">
        <v>169</v>
      </c>
      <c r="I29" s="12" t="s">
        <v>54</v>
      </c>
      <c r="J29" s="12" t="s">
        <v>54</v>
      </c>
      <c r="K29" s="12" t="s">
        <v>170</v>
      </c>
      <c r="L29" s="8" t="s">
        <v>56</v>
      </c>
    </row>
    <row r="30">
      <c r="A30" s="9">
        <v>178.0</v>
      </c>
      <c r="B30" s="10" t="s">
        <v>97</v>
      </c>
      <c r="C30" s="10" t="s">
        <v>136</v>
      </c>
      <c r="D30" s="11" t="str">
        <f>HYPERLINK("https://drive.google.com/file/d/1CBPMmHUBB9CP087OlQVdATKHLg77CgwU/view?usp=drivesdk","14312.jpg")</f>
        <v>14312.jpg</v>
      </c>
      <c r="E30" s="10" t="s">
        <v>171</v>
      </c>
      <c r="F30" s="10" t="s">
        <v>172</v>
      </c>
      <c r="G30" s="10" t="s">
        <v>173</v>
      </c>
      <c r="H30" s="12" t="s">
        <v>91</v>
      </c>
      <c r="I30" s="12" t="s">
        <v>54</v>
      </c>
      <c r="J30" s="12" t="s">
        <v>54</v>
      </c>
      <c r="K30" s="12" t="s">
        <v>174</v>
      </c>
      <c r="L30" s="8" t="s">
        <v>56</v>
      </c>
    </row>
    <row r="31">
      <c r="A31" s="9">
        <v>182.0</v>
      </c>
      <c r="B31" s="10" t="s">
        <v>97</v>
      </c>
      <c r="C31" s="10" t="s">
        <v>136</v>
      </c>
      <c r="D31" s="11" t="str">
        <f>HYPERLINK("https://drive.google.com/file/d/1Is_c9MfgC5kwbsyYVEzJvjuzNkncjWO0/view?usp=drivesdk","7057.jpg")</f>
        <v>7057.jpg</v>
      </c>
      <c r="E31" s="10" t="s">
        <v>175</v>
      </c>
      <c r="F31" s="10" t="s">
        <v>176</v>
      </c>
      <c r="G31" s="10" t="s">
        <v>177</v>
      </c>
      <c r="H31" s="12" t="s">
        <v>60</v>
      </c>
      <c r="I31" s="12" t="s">
        <v>61</v>
      </c>
      <c r="J31" s="12" t="s">
        <v>54</v>
      </c>
      <c r="K31" s="12" t="s">
        <v>178</v>
      </c>
      <c r="L31" s="8" t="s">
        <v>56</v>
      </c>
    </row>
    <row r="32">
      <c r="A32" s="5">
        <v>13.0</v>
      </c>
      <c r="B32" s="6" t="s">
        <v>179</v>
      </c>
      <c r="C32" s="6" t="s">
        <v>41</v>
      </c>
      <c r="D32" s="7" t="str">
        <f>HYPERLINK("https://drive.google.com/file/d/1jV_sjE8TZ3gRFSE6Kpg9_W-65rCK9s9M/view?usp=drivesdk","COCO_val2014_000000117222.jpg")</f>
        <v>COCO_val2014_000000117222.jpg</v>
      </c>
      <c r="E32" s="6" t="s">
        <v>180</v>
      </c>
      <c r="F32" s="6" t="s">
        <v>181</v>
      </c>
      <c r="G32" s="6" t="s">
        <v>182</v>
      </c>
      <c r="H32" s="12" t="s">
        <v>183</v>
      </c>
      <c r="I32" s="12" t="s">
        <v>54</v>
      </c>
      <c r="J32" s="12" t="s">
        <v>54</v>
      </c>
      <c r="K32" s="12" t="s">
        <v>184</v>
      </c>
      <c r="L32" s="8" t="s">
        <v>56</v>
      </c>
    </row>
    <row r="33">
      <c r="A33" s="5">
        <v>17.0</v>
      </c>
      <c r="B33" s="6" t="s">
        <v>179</v>
      </c>
      <c r="C33" s="6" t="s">
        <v>41</v>
      </c>
      <c r="D33" s="7" t="str">
        <f>HYPERLINK("https://drive.google.com/file/d/1n_O31_kaaV4jJ4uE2MPJUdxOziSacdQM/view?usp=drivesdk","COCO_train2014_000000044240.jpg")</f>
        <v>COCO_train2014_000000044240.jpg</v>
      </c>
      <c r="E33" s="6" t="s">
        <v>185</v>
      </c>
      <c r="F33" s="6" t="s">
        <v>186</v>
      </c>
      <c r="G33" s="6" t="s">
        <v>187</v>
      </c>
      <c r="H33" s="12" t="s">
        <v>105</v>
      </c>
      <c r="I33" s="12" t="s">
        <v>61</v>
      </c>
      <c r="J33" s="12" t="s">
        <v>54</v>
      </c>
      <c r="K33" s="12" t="s">
        <v>188</v>
      </c>
      <c r="L33" s="8" t="s">
        <v>56</v>
      </c>
    </row>
    <row r="34">
      <c r="A34" s="5">
        <v>20.0</v>
      </c>
      <c r="B34" s="6" t="s">
        <v>179</v>
      </c>
      <c r="C34" s="6" t="s">
        <v>41</v>
      </c>
      <c r="D34" s="7" t="str">
        <f>HYPERLINK("https://drive.google.com/file/d/18vmjOhZxakLb6PdCCMaYkd7pA0eNj3jP/view?usp=drivesdk","COCO_val2014_000000335810.jpg")</f>
        <v>COCO_val2014_000000335810.jpg</v>
      </c>
      <c r="E34" s="6" t="s">
        <v>189</v>
      </c>
      <c r="F34" s="6" t="s">
        <v>64</v>
      </c>
      <c r="G34" s="6" t="s">
        <v>65</v>
      </c>
      <c r="H34" s="12" t="s">
        <v>66</v>
      </c>
      <c r="I34" s="12" t="s">
        <v>61</v>
      </c>
      <c r="J34" s="12" t="s">
        <v>54</v>
      </c>
      <c r="K34" s="12" t="s">
        <v>190</v>
      </c>
      <c r="L34" s="8" t="s">
        <v>56</v>
      </c>
    </row>
    <row r="35">
      <c r="A35" s="5">
        <v>24.0</v>
      </c>
      <c r="B35" s="6" t="s">
        <v>179</v>
      </c>
      <c r="C35" s="6" t="s">
        <v>41</v>
      </c>
      <c r="D35" s="7" t="str">
        <f>HYPERLINK("https://drive.google.com/file/d/1w4PMy_YFPmc4xxaUFIuo6TtKtTb6GV8O/view?usp=drivesdk","COCO_train2014_000000516624.jpg")</f>
        <v>COCO_train2014_000000516624.jpg</v>
      </c>
      <c r="E35" s="6" t="s">
        <v>191</v>
      </c>
      <c r="F35" s="6" t="s">
        <v>192</v>
      </c>
      <c r="G35" s="6" t="s">
        <v>94</v>
      </c>
      <c r="H35" s="12" t="s">
        <v>91</v>
      </c>
      <c r="I35" s="12" t="s">
        <v>54</v>
      </c>
      <c r="J35" s="12" t="s">
        <v>61</v>
      </c>
      <c r="K35" s="12" t="s">
        <v>193</v>
      </c>
      <c r="L35" s="8" t="s">
        <v>56</v>
      </c>
    </row>
    <row r="36">
      <c r="A36" s="5">
        <v>33.0</v>
      </c>
      <c r="B36" s="6" t="s">
        <v>179</v>
      </c>
      <c r="C36" s="6" t="s">
        <v>41</v>
      </c>
      <c r="D36" s="7" t="str">
        <f>HYPERLINK("https://drive.google.com/file/d/1hSqp3TbJzYzhSu-sl_HMZAWxhLdsxwtq/view?usp=drivesdk","COCO_val2014_000000579201.jpg")</f>
        <v>COCO_val2014_000000579201.jpg</v>
      </c>
      <c r="E36" s="6" t="s">
        <v>194</v>
      </c>
      <c r="F36" s="6" t="s">
        <v>85</v>
      </c>
      <c r="G36" s="6" t="s">
        <v>86</v>
      </c>
      <c r="H36" s="12" t="s">
        <v>60</v>
      </c>
      <c r="I36" s="12" t="s">
        <v>61</v>
      </c>
      <c r="J36" s="12" t="s">
        <v>54</v>
      </c>
      <c r="K36" s="12" t="s">
        <v>195</v>
      </c>
      <c r="L36" s="8" t="s">
        <v>56</v>
      </c>
    </row>
    <row r="37">
      <c r="A37" s="5">
        <v>34.0</v>
      </c>
      <c r="B37" s="6" t="s">
        <v>179</v>
      </c>
      <c r="C37" s="6" t="s">
        <v>41</v>
      </c>
      <c r="D37" s="7" t="str">
        <f>HYPERLINK("https://drive.google.com/file/d/1GvgSWpTsChyqOAfGbbHlrWLHPp1fWuWp/view?usp=drivesdk","COCO_train2014_000000268141.jpg")</f>
        <v>COCO_train2014_000000268141.jpg</v>
      </c>
      <c r="E37" s="6" t="s">
        <v>196</v>
      </c>
      <c r="F37" s="6" t="s">
        <v>119</v>
      </c>
      <c r="G37" s="6" t="s">
        <v>197</v>
      </c>
      <c r="H37" s="12" t="s">
        <v>53</v>
      </c>
      <c r="I37" s="12" t="s">
        <v>54</v>
      </c>
      <c r="J37" s="12" t="s">
        <v>54</v>
      </c>
      <c r="K37" s="12" t="s">
        <v>198</v>
      </c>
      <c r="L37" s="8" t="s">
        <v>56</v>
      </c>
    </row>
    <row r="38">
      <c r="A38" s="5">
        <v>36.0</v>
      </c>
      <c r="B38" s="6" t="s">
        <v>179</v>
      </c>
      <c r="C38" s="6" t="s">
        <v>41</v>
      </c>
      <c r="D38" s="7" t="str">
        <f>HYPERLINK("https://drive.google.com/file/d/1n-BT3tevTGekoRgooNAnsjGSces_SJ2a/view?usp=drivesdk","COCO_train2014_000000029356.jpg")</f>
        <v>COCO_train2014_000000029356.jpg</v>
      </c>
      <c r="E38" s="6" t="s">
        <v>199</v>
      </c>
      <c r="F38" s="6" t="s">
        <v>200</v>
      </c>
      <c r="G38" s="6" t="s">
        <v>201</v>
      </c>
      <c r="H38" s="12" t="s">
        <v>53</v>
      </c>
      <c r="I38" s="12" t="s">
        <v>54</v>
      </c>
      <c r="J38" s="12" t="s">
        <v>54</v>
      </c>
      <c r="K38" s="12" t="s">
        <v>202</v>
      </c>
      <c r="L38" s="8" t="s">
        <v>56</v>
      </c>
    </row>
    <row r="39">
      <c r="A39" s="5">
        <v>38.0</v>
      </c>
      <c r="B39" s="6" t="s">
        <v>179</v>
      </c>
      <c r="C39" s="6" t="s">
        <v>41</v>
      </c>
      <c r="D39" s="7" t="str">
        <f>HYPERLINK("https://drive.google.com/file/d/1FsEZ_sEZhvivjSYXGS3U31jDpNEqXkEk/view?usp=drivesdk","COCO_train2014_000000454619.jpg")</f>
        <v>COCO_train2014_000000454619.jpg</v>
      </c>
      <c r="E39" s="6" t="s">
        <v>203</v>
      </c>
      <c r="F39" s="6" t="s">
        <v>204</v>
      </c>
      <c r="G39" s="6" t="s">
        <v>82</v>
      </c>
      <c r="H39" s="12" t="s">
        <v>53</v>
      </c>
      <c r="I39" s="12" t="s">
        <v>54</v>
      </c>
      <c r="J39" s="12" t="s">
        <v>54</v>
      </c>
      <c r="K39" s="12" t="s">
        <v>205</v>
      </c>
      <c r="L39" s="8" t="s">
        <v>56</v>
      </c>
    </row>
    <row r="40">
      <c r="A40" s="5">
        <v>46.0</v>
      </c>
      <c r="B40" s="6" t="s">
        <v>179</v>
      </c>
      <c r="C40" s="6" t="s">
        <v>41</v>
      </c>
      <c r="D40" s="7" t="str">
        <f>HYPERLINK("https://drive.google.com/file/d/1AoMt5L7QycuGBGeFW25puj4xMRauqWa-/view?usp=drivesdk","COCO_train2014_000000376405.jpg")</f>
        <v>COCO_train2014_000000376405.jpg</v>
      </c>
      <c r="E40" s="6" t="s">
        <v>206</v>
      </c>
      <c r="F40" s="6" t="s">
        <v>207</v>
      </c>
      <c r="G40" s="6" t="s">
        <v>90</v>
      </c>
      <c r="H40" s="12" t="s">
        <v>66</v>
      </c>
      <c r="I40" s="12" t="s">
        <v>61</v>
      </c>
      <c r="J40" s="12" t="s">
        <v>54</v>
      </c>
      <c r="K40" s="12" t="s">
        <v>208</v>
      </c>
      <c r="L40" s="8" t="s">
        <v>56</v>
      </c>
    </row>
    <row r="41">
      <c r="A41" s="5">
        <v>48.0</v>
      </c>
      <c r="B41" s="6" t="s">
        <v>179</v>
      </c>
      <c r="C41" s="6" t="s">
        <v>41</v>
      </c>
      <c r="D41" s="7" t="str">
        <f>HYPERLINK("https://drive.google.com/file/d/1r47ARb3Vw2SSF7O2Ewy0MJh0dvO-9DfH/view?usp=drivesdk","COCO_val2014_000000358629.jpg")</f>
        <v>COCO_val2014_000000358629.jpg</v>
      </c>
      <c r="E41" s="6" t="s">
        <v>209</v>
      </c>
      <c r="F41" s="6" t="s">
        <v>210</v>
      </c>
      <c r="G41" s="6" t="s">
        <v>211</v>
      </c>
      <c r="H41" s="12" t="s">
        <v>66</v>
      </c>
      <c r="I41" s="12" t="s">
        <v>61</v>
      </c>
      <c r="J41" s="12" t="s">
        <v>54</v>
      </c>
      <c r="K41" s="12" t="s">
        <v>212</v>
      </c>
      <c r="L41" s="8" t="s">
        <v>56</v>
      </c>
    </row>
    <row r="42">
      <c r="A42" s="5">
        <v>55.0</v>
      </c>
      <c r="B42" s="6" t="s">
        <v>179</v>
      </c>
      <c r="C42" s="6" t="s">
        <v>41</v>
      </c>
      <c r="D42" s="7" t="str">
        <f>HYPERLINK("https://drive.google.com/file/d/1n0TOTTNCIoDzWr9y8OW9SLX9Kt9rmUgu/view?usp=drivesdk","COCO_train2014_000000315568.jpg")</f>
        <v>COCO_train2014_000000315568.jpg</v>
      </c>
      <c r="E42" s="6" t="s">
        <v>213</v>
      </c>
      <c r="F42" s="6" t="s">
        <v>103</v>
      </c>
      <c r="G42" s="6" t="s">
        <v>214</v>
      </c>
      <c r="H42" s="12" t="s">
        <v>105</v>
      </c>
      <c r="I42" s="12" t="s">
        <v>61</v>
      </c>
      <c r="J42" s="12" t="s">
        <v>54</v>
      </c>
      <c r="K42" s="12" t="s">
        <v>215</v>
      </c>
      <c r="L42" s="8" t="s">
        <v>56</v>
      </c>
    </row>
    <row r="43">
      <c r="A43" s="5">
        <v>56.0</v>
      </c>
      <c r="B43" s="6" t="s">
        <v>179</v>
      </c>
      <c r="C43" s="6" t="s">
        <v>41</v>
      </c>
      <c r="D43" s="7" t="str">
        <f>HYPERLINK("https://drive.google.com/file/d/1t5ELGqkWQMDwXzlWEMhuVnKTyiJgPX36/view?usp=drivesdk","COCO_val2014_000000558633.jpg")</f>
        <v>COCO_val2014_000000558633.jpg</v>
      </c>
      <c r="E43" s="6" t="s">
        <v>216</v>
      </c>
      <c r="F43" s="6" t="s">
        <v>73</v>
      </c>
      <c r="G43" s="6" t="s">
        <v>74</v>
      </c>
      <c r="H43" s="12" t="s">
        <v>60</v>
      </c>
      <c r="I43" s="12" t="s">
        <v>61</v>
      </c>
      <c r="J43" s="12" t="s">
        <v>54</v>
      </c>
      <c r="K43" s="12" t="s">
        <v>217</v>
      </c>
      <c r="L43" s="8" t="s">
        <v>56</v>
      </c>
    </row>
    <row r="44">
      <c r="A44" s="5">
        <v>57.0</v>
      </c>
      <c r="B44" s="6" t="s">
        <v>179</v>
      </c>
      <c r="C44" s="6" t="s">
        <v>41</v>
      </c>
      <c r="D44" s="7" t="str">
        <f>HYPERLINK("https://drive.google.com/file/d/1Bl2PfWJMsdtEfazlljpHM6bvgYh4XU7T/view?usp=drivesdk","COCO_val2014_000000388881.jpg")</f>
        <v>COCO_val2014_000000388881.jpg</v>
      </c>
      <c r="E44" s="6" t="s">
        <v>218</v>
      </c>
      <c r="F44" s="6" t="s">
        <v>219</v>
      </c>
      <c r="G44" s="6" t="s">
        <v>220</v>
      </c>
      <c r="H44" s="12" t="s">
        <v>66</v>
      </c>
      <c r="I44" s="12" t="s">
        <v>61</v>
      </c>
      <c r="J44" s="12" t="s">
        <v>54</v>
      </c>
      <c r="K44" s="12" t="s">
        <v>221</v>
      </c>
      <c r="L44" s="8" t="s">
        <v>56</v>
      </c>
    </row>
    <row r="45">
      <c r="A45" s="5">
        <v>62.0</v>
      </c>
      <c r="B45" s="6" t="s">
        <v>179</v>
      </c>
      <c r="C45" s="6" t="s">
        <v>41</v>
      </c>
      <c r="D45" s="7" t="str">
        <f>HYPERLINK("https://drive.google.com/file/d/1U1KRIB6BAyeMFVKsumBwV_UkaaIElmKd/view?usp=drivesdk","COCO_train2014_000000104127.jpg")</f>
        <v>COCO_train2014_000000104127.jpg</v>
      </c>
      <c r="E45" s="6" t="s">
        <v>222</v>
      </c>
      <c r="F45" s="6" t="s">
        <v>119</v>
      </c>
      <c r="G45" s="6" t="s">
        <v>197</v>
      </c>
      <c r="H45" s="12" t="s">
        <v>53</v>
      </c>
      <c r="I45" s="12" t="s">
        <v>54</v>
      </c>
      <c r="J45" s="12" t="s">
        <v>54</v>
      </c>
      <c r="K45" s="12" t="s">
        <v>223</v>
      </c>
      <c r="L45" s="8" t="s">
        <v>56</v>
      </c>
    </row>
    <row r="46">
      <c r="A46" s="5">
        <v>63.0</v>
      </c>
      <c r="B46" s="6" t="s">
        <v>179</v>
      </c>
      <c r="C46" s="6" t="s">
        <v>41</v>
      </c>
      <c r="D46" s="7" t="str">
        <f>HYPERLINK("https://drive.google.com/file/d/1gUpY6UFSpN6bnLf29lC_zUWmgYZAY3e8/view?usp=drivesdk","COCO_val2014_000000523677.jpg")</f>
        <v>COCO_val2014_000000523677.jpg</v>
      </c>
      <c r="E46" s="6" t="s">
        <v>224</v>
      </c>
      <c r="F46" s="6" t="s">
        <v>225</v>
      </c>
      <c r="G46" s="6" t="s">
        <v>211</v>
      </c>
      <c r="H46" s="12" t="s">
        <v>66</v>
      </c>
      <c r="I46" s="12" t="s">
        <v>61</v>
      </c>
      <c r="J46" s="12" t="s">
        <v>54</v>
      </c>
      <c r="K46" s="12" t="s">
        <v>226</v>
      </c>
      <c r="L46" s="8" t="s">
        <v>56</v>
      </c>
    </row>
    <row r="47">
      <c r="A47" s="5">
        <v>65.0</v>
      </c>
      <c r="B47" s="6" t="s">
        <v>179</v>
      </c>
      <c r="C47" s="6" t="s">
        <v>41</v>
      </c>
      <c r="D47" s="7" t="str">
        <f>HYPERLINK("https://drive.google.com/file/d/1j5VaCKufW_l6r0ha-bKggcLDVgg31aBE/view?usp=drivesdk","COCO_val2014_000000545250.jpg")</f>
        <v>COCO_val2014_000000545250.jpg</v>
      </c>
      <c r="E47" s="6" t="s">
        <v>227</v>
      </c>
      <c r="F47" s="6" t="s">
        <v>228</v>
      </c>
      <c r="G47" s="6" t="s">
        <v>116</v>
      </c>
      <c r="H47" s="12" t="s">
        <v>66</v>
      </c>
      <c r="I47" s="12" t="s">
        <v>61</v>
      </c>
      <c r="J47" s="12" t="s">
        <v>54</v>
      </c>
      <c r="K47" s="12" t="s">
        <v>229</v>
      </c>
      <c r="L47" s="8" t="s">
        <v>56</v>
      </c>
    </row>
    <row r="48">
      <c r="A48" s="5">
        <v>68.0</v>
      </c>
      <c r="B48" s="6" t="s">
        <v>179</v>
      </c>
      <c r="C48" s="6" t="s">
        <v>41</v>
      </c>
      <c r="D48" s="7" t="str">
        <f>HYPERLINK("https://drive.google.com/file/d/1lY5glcuymHKCJowQJzjyTowU0rZSW793/view?usp=drivesdk","COCO_train2014_000000046168.jpg")</f>
        <v>COCO_train2014_000000046168.jpg</v>
      </c>
      <c r="E48" s="6" t="s">
        <v>230</v>
      </c>
      <c r="F48" s="6" t="s">
        <v>231</v>
      </c>
      <c r="G48" s="6" t="s">
        <v>207</v>
      </c>
      <c r="H48" s="12" t="s">
        <v>60</v>
      </c>
      <c r="I48" s="12" t="s">
        <v>61</v>
      </c>
      <c r="J48" s="12" t="s">
        <v>54</v>
      </c>
      <c r="K48" s="12" t="s">
        <v>232</v>
      </c>
      <c r="L48" s="8" t="s">
        <v>56</v>
      </c>
    </row>
    <row r="49">
      <c r="A49" s="5">
        <v>70.0</v>
      </c>
      <c r="B49" s="6" t="s">
        <v>179</v>
      </c>
      <c r="C49" s="6" t="s">
        <v>41</v>
      </c>
      <c r="D49" s="7" t="str">
        <f>HYPERLINK("https://drive.google.com/file/d/16NjGtd2uYYp-P0KYPydxEOZvuFwrvXHL/view?usp=drivesdk","COCO_val2014_000000349324.jpg")</f>
        <v>COCO_val2014_000000349324.jpg</v>
      </c>
      <c r="E49" s="6" t="s">
        <v>233</v>
      </c>
      <c r="F49" s="6" t="s">
        <v>234</v>
      </c>
      <c r="G49" s="6" t="s">
        <v>82</v>
      </c>
      <c r="H49" s="12" t="s">
        <v>105</v>
      </c>
      <c r="I49" s="12" t="s">
        <v>61</v>
      </c>
      <c r="J49" s="12" t="s">
        <v>54</v>
      </c>
      <c r="K49" s="12" t="s">
        <v>235</v>
      </c>
      <c r="L49" s="13" t="s">
        <v>56</v>
      </c>
    </row>
    <row r="50">
      <c r="A50" s="5">
        <v>72.0</v>
      </c>
      <c r="B50" s="6" t="s">
        <v>179</v>
      </c>
      <c r="C50" s="6" t="s">
        <v>41</v>
      </c>
      <c r="D50" s="7" t="str">
        <f>HYPERLINK("https://drive.google.com/file/d/1qFcJ1cQnRvjUyh0JwVkk0FUMw74_TtLv/view?usp=drivesdk","COCO_train2014_000000463232.jpg")</f>
        <v>COCO_train2014_000000463232.jpg</v>
      </c>
      <c r="E50" s="6" t="s">
        <v>236</v>
      </c>
      <c r="F50" s="6" t="s">
        <v>64</v>
      </c>
      <c r="G50" s="6" t="s">
        <v>65</v>
      </c>
      <c r="H50" s="12" t="s">
        <v>66</v>
      </c>
      <c r="I50" s="12" t="s">
        <v>61</v>
      </c>
      <c r="J50" s="12" t="s">
        <v>54</v>
      </c>
      <c r="K50" s="12" t="s">
        <v>237</v>
      </c>
      <c r="L50" s="13" t="s">
        <v>56</v>
      </c>
    </row>
    <row r="51">
      <c r="A51" s="5">
        <v>90.0</v>
      </c>
      <c r="B51" s="6" t="s">
        <v>179</v>
      </c>
      <c r="C51" s="6" t="s">
        <v>41</v>
      </c>
      <c r="D51" s="7" t="str">
        <f>HYPERLINK("https://drive.google.com/file/d/1grbSrYaCeGWTig2fDZ-eDi0BYWPFN_be/view?usp=drivesdk","COCO_train2014_000000450551.jpg")</f>
        <v>COCO_train2014_000000450551.jpg</v>
      </c>
      <c r="E51" s="6" t="s">
        <v>238</v>
      </c>
      <c r="F51" s="6" t="s">
        <v>239</v>
      </c>
      <c r="G51" s="6" t="s">
        <v>51</v>
      </c>
      <c r="H51" s="12" t="s">
        <v>66</v>
      </c>
      <c r="I51" s="12" t="s">
        <v>61</v>
      </c>
      <c r="J51" s="12" t="s">
        <v>54</v>
      </c>
      <c r="K51" s="12" t="s">
        <v>240</v>
      </c>
      <c r="L51" s="8" t="s">
        <v>56</v>
      </c>
    </row>
    <row r="52">
      <c r="A52" s="5">
        <v>106.0</v>
      </c>
      <c r="B52" s="6" t="s">
        <v>179</v>
      </c>
      <c r="C52" s="6" t="s">
        <v>136</v>
      </c>
      <c r="D52" s="7" t="str">
        <f>HYPERLINK("https://drive.google.com/file/d/1WJ4_8snMA45QwYjG_x43NMJDHcr5umLX/view?usp=drivesdk","7405.jpg")</f>
        <v>7405.jpg</v>
      </c>
      <c r="E52" s="6" t="s">
        <v>241</v>
      </c>
      <c r="F52" s="6" t="s">
        <v>242</v>
      </c>
      <c r="G52" s="6" t="s">
        <v>243</v>
      </c>
      <c r="H52" s="12" t="s">
        <v>105</v>
      </c>
      <c r="I52" s="12" t="s">
        <v>61</v>
      </c>
      <c r="J52" s="12" t="s">
        <v>54</v>
      </c>
      <c r="K52" s="12" t="s">
        <v>244</v>
      </c>
      <c r="L52" s="8" t="s">
        <v>56</v>
      </c>
    </row>
    <row r="53">
      <c r="A53" s="5">
        <v>108.0</v>
      </c>
      <c r="B53" s="6" t="s">
        <v>179</v>
      </c>
      <c r="C53" s="6" t="s">
        <v>136</v>
      </c>
      <c r="D53" s="7" t="str">
        <f>HYPERLINK("https://drive.google.com/file/d/1XF7isKqObkYhiLjwX8cqwhRCpL1PsAzV/view?usp=drivesdk","5461.jpg")</f>
        <v>5461.jpg</v>
      </c>
      <c r="E53" s="6" t="s">
        <v>245</v>
      </c>
      <c r="F53" s="6" t="s">
        <v>246</v>
      </c>
      <c r="G53" s="6" t="s">
        <v>247</v>
      </c>
      <c r="H53" s="12" t="s">
        <v>60</v>
      </c>
      <c r="I53" s="12" t="s">
        <v>61</v>
      </c>
      <c r="J53" s="12" t="s">
        <v>54</v>
      </c>
      <c r="K53" s="14" t="s">
        <v>248</v>
      </c>
      <c r="L53" s="8" t="s">
        <v>56</v>
      </c>
    </row>
    <row r="54">
      <c r="A54" s="5">
        <v>113.0</v>
      </c>
      <c r="B54" s="6" t="s">
        <v>179</v>
      </c>
      <c r="C54" s="6" t="s">
        <v>136</v>
      </c>
      <c r="D54" s="7" t="str">
        <f>HYPERLINK("https://drive.google.com/file/d/1N_xsk9o68IHps2glDJgw-qFP3zoHki9a/view?usp=drivesdk","2168.jpg")</f>
        <v>2168.jpg</v>
      </c>
      <c r="E54" s="6" t="s">
        <v>249</v>
      </c>
      <c r="F54" s="6" t="s">
        <v>250</v>
      </c>
      <c r="G54" s="6" t="s">
        <v>251</v>
      </c>
      <c r="H54" s="12" t="s">
        <v>91</v>
      </c>
      <c r="I54" s="12" t="s">
        <v>54</v>
      </c>
      <c r="J54" s="12" t="s">
        <v>54</v>
      </c>
      <c r="K54" s="14" t="s">
        <v>252</v>
      </c>
      <c r="L54" s="8" t="s">
        <v>56</v>
      </c>
    </row>
    <row r="55">
      <c r="A55" s="5">
        <v>115.0</v>
      </c>
      <c r="B55" s="6" t="s">
        <v>179</v>
      </c>
      <c r="C55" s="6" t="s">
        <v>136</v>
      </c>
      <c r="D55" s="7" t="str">
        <f>HYPERLINK("https://drive.google.com/file/d/1EMgLOBEqPTkI-wGSkNvjPZrY8bv6xHL7/view?usp=drivesdk","4709.jpg")</f>
        <v>4709.jpg</v>
      </c>
      <c r="E55" s="6" t="s">
        <v>253</v>
      </c>
      <c r="F55" s="6" t="s">
        <v>254</v>
      </c>
      <c r="G55" s="6" t="s">
        <v>255</v>
      </c>
      <c r="H55" s="12" t="s">
        <v>169</v>
      </c>
      <c r="I55" s="12" t="s">
        <v>54</v>
      </c>
      <c r="J55" s="12" t="s">
        <v>54</v>
      </c>
      <c r="K55" s="14" t="s">
        <v>256</v>
      </c>
      <c r="L55" s="8" t="s">
        <v>56</v>
      </c>
    </row>
    <row r="56">
      <c r="A56" s="5">
        <v>118.0</v>
      </c>
      <c r="B56" s="6" t="s">
        <v>179</v>
      </c>
      <c r="C56" s="6" t="s">
        <v>136</v>
      </c>
      <c r="D56" s="7" t="str">
        <f>HYPERLINK("https://drive.google.com/file/d/1cgfWFi7-516_pojJZ1RLZ9LNvD3zIYSC/view?usp=drivesdk","3874.jpg")</f>
        <v>3874.jpg</v>
      </c>
      <c r="E56" s="6" t="s">
        <v>257</v>
      </c>
      <c r="F56" s="6" t="s">
        <v>258</v>
      </c>
      <c r="G56" s="6" t="s">
        <v>259</v>
      </c>
      <c r="H56" s="12" t="s">
        <v>169</v>
      </c>
      <c r="I56" s="12" t="s">
        <v>54</v>
      </c>
      <c r="J56" s="12" t="s">
        <v>54</v>
      </c>
      <c r="K56" s="14" t="s">
        <v>260</v>
      </c>
      <c r="L56" s="8" t="s">
        <v>56</v>
      </c>
    </row>
    <row r="57">
      <c r="A57" s="5">
        <v>127.0</v>
      </c>
      <c r="B57" s="6" t="s">
        <v>179</v>
      </c>
      <c r="C57" s="6" t="s">
        <v>136</v>
      </c>
      <c r="D57" s="7" t="str">
        <f>HYPERLINK("https://drive.google.com/file/d/1S2wxqFoqzwFzLDHTV-SHdBFZYYqOma1X/view?usp=drivesdk","6535.jpg")</f>
        <v>6535.jpg</v>
      </c>
      <c r="E57" s="6" t="s">
        <v>261</v>
      </c>
      <c r="F57" s="6" t="s">
        <v>262</v>
      </c>
      <c r="G57" s="6" t="s">
        <v>263</v>
      </c>
      <c r="H57" s="12" t="s">
        <v>60</v>
      </c>
      <c r="I57" s="12" t="s">
        <v>61</v>
      </c>
      <c r="J57" s="12" t="s">
        <v>54</v>
      </c>
      <c r="K57" s="14" t="s">
        <v>264</v>
      </c>
      <c r="L57" s="8" t="s">
        <v>56</v>
      </c>
    </row>
    <row r="58">
      <c r="A58" s="5">
        <v>128.0</v>
      </c>
      <c r="B58" s="6" t="s">
        <v>179</v>
      </c>
      <c r="C58" s="6" t="s">
        <v>136</v>
      </c>
      <c r="D58" s="7" t="str">
        <f>HYPERLINK("https://drive.google.com/file/d/1sjZHQE9KGa0BTu61fk_Q1T1Yuv7bn3xo/view?usp=drivesdk","14428.jpg")</f>
        <v>14428.jpg</v>
      </c>
      <c r="E58" s="6" t="s">
        <v>265</v>
      </c>
      <c r="F58" s="6" t="s">
        <v>266</v>
      </c>
      <c r="G58" s="6" t="s">
        <v>267</v>
      </c>
      <c r="H58" s="12" t="s">
        <v>91</v>
      </c>
      <c r="I58" s="12" t="s">
        <v>54</v>
      </c>
      <c r="J58" s="14" t="s">
        <v>54</v>
      </c>
      <c r="K58" s="14" t="s">
        <v>268</v>
      </c>
      <c r="L58" s="8" t="s">
        <v>56</v>
      </c>
    </row>
    <row r="59">
      <c r="A59" s="5">
        <v>130.0</v>
      </c>
      <c r="B59" s="6" t="s">
        <v>179</v>
      </c>
      <c r="C59" s="6" t="s">
        <v>136</v>
      </c>
      <c r="D59" s="7" t="str">
        <f>HYPERLINK("https://drive.google.com/file/d/1bEYVS5_q41C4BQ8ScHl-iBhCGXQv0Jpy/view?usp=drivesdk","14279.jpg")</f>
        <v>14279.jpg</v>
      </c>
      <c r="E59" s="6" t="s">
        <v>269</v>
      </c>
      <c r="F59" s="6" t="s">
        <v>270</v>
      </c>
      <c r="G59" s="6" t="s">
        <v>271</v>
      </c>
      <c r="H59" s="12" t="s">
        <v>272</v>
      </c>
      <c r="I59" s="12" t="s">
        <v>61</v>
      </c>
      <c r="J59" s="12" t="s">
        <v>54</v>
      </c>
      <c r="K59" s="14" t="s">
        <v>273</v>
      </c>
      <c r="L59" s="8" t="s">
        <v>56</v>
      </c>
    </row>
    <row r="60">
      <c r="A60" s="5">
        <v>146.0</v>
      </c>
      <c r="B60" s="6" t="s">
        <v>179</v>
      </c>
      <c r="C60" s="6" t="s">
        <v>136</v>
      </c>
      <c r="D60" s="7" t="str">
        <f>HYPERLINK("https://drive.google.com/file/d/1tY8AHtMNzoBinUViZIfzNvXAtbrBZCqM/view?usp=drivesdk","291.jpg")</f>
        <v>291.jpg</v>
      </c>
      <c r="E60" s="6" t="s">
        <v>274</v>
      </c>
      <c r="F60" s="6" t="s">
        <v>275</v>
      </c>
      <c r="G60" s="6" t="s">
        <v>276</v>
      </c>
      <c r="H60" s="12" t="s">
        <v>60</v>
      </c>
      <c r="I60" s="12" t="s">
        <v>61</v>
      </c>
      <c r="J60" s="12" t="s">
        <v>54</v>
      </c>
      <c r="K60" s="14" t="s">
        <v>277</v>
      </c>
      <c r="L60" s="8" t="s">
        <v>56</v>
      </c>
    </row>
    <row r="61">
      <c r="A61" s="5">
        <v>154.0</v>
      </c>
      <c r="B61" s="6" t="s">
        <v>179</v>
      </c>
      <c r="C61" s="6" t="s">
        <v>136</v>
      </c>
      <c r="D61" s="7" t="str">
        <f>HYPERLINK("https://drive.google.com/file/d/1_lzMyPcvfQ1ca3CcpcQAmUfHnr7vXvT8/view?usp=drivesdk","4870.jpg")</f>
        <v>4870.jpg</v>
      </c>
      <c r="E61" s="6" t="s">
        <v>278</v>
      </c>
      <c r="F61" s="6" t="s">
        <v>279</v>
      </c>
      <c r="G61" s="6" t="s">
        <v>280</v>
      </c>
      <c r="H61" s="12" t="s">
        <v>105</v>
      </c>
      <c r="I61" s="12" t="s">
        <v>61</v>
      </c>
      <c r="J61" s="12" t="s">
        <v>54</v>
      </c>
      <c r="K61" s="14" t="s">
        <v>281</v>
      </c>
      <c r="L61" s="8" t="s">
        <v>56</v>
      </c>
    </row>
    <row r="62">
      <c r="A62" s="5">
        <v>156.0</v>
      </c>
      <c r="B62" s="6" t="s">
        <v>179</v>
      </c>
      <c r="C62" s="6" t="s">
        <v>136</v>
      </c>
      <c r="D62" s="7" t="str">
        <f>HYPERLINK("https://drive.google.com/file/d/1M0Werk6Jq-T6IF-q6YKFYoQgjBF3cN8W/view?usp=drivesdk","16577.jpg")</f>
        <v>16577.jpg</v>
      </c>
      <c r="E62" s="6" t="s">
        <v>282</v>
      </c>
      <c r="F62" s="6" t="s">
        <v>283</v>
      </c>
      <c r="G62" s="6" t="s">
        <v>284</v>
      </c>
      <c r="H62" s="12" t="s">
        <v>169</v>
      </c>
      <c r="I62" s="12" t="s">
        <v>54</v>
      </c>
      <c r="J62" s="12" t="s">
        <v>54</v>
      </c>
      <c r="K62" s="14" t="s">
        <v>285</v>
      </c>
      <c r="L62" s="8" t="s">
        <v>56</v>
      </c>
    </row>
    <row r="63">
      <c r="A63" s="5">
        <v>157.0</v>
      </c>
      <c r="B63" s="6" t="s">
        <v>179</v>
      </c>
      <c r="C63" s="6" t="s">
        <v>136</v>
      </c>
      <c r="D63" s="7" t="str">
        <f>HYPERLINK("https://drive.google.com/file/d/1ATHwD_B62bEzocvyqhgOVyPfv2iqhhyM/view?usp=drivesdk","9124.jpg")</f>
        <v>9124.jpg</v>
      </c>
      <c r="E63" s="6" t="s">
        <v>286</v>
      </c>
      <c r="F63" s="6" t="s">
        <v>287</v>
      </c>
      <c r="G63" s="6" t="s">
        <v>288</v>
      </c>
      <c r="H63" s="12" t="s">
        <v>60</v>
      </c>
      <c r="I63" s="12" t="s">
        <v>61</v>
      </c>
      <c r="J63" s="12" t="s">
        <v>54</v>
      </c>
      <c r="K63" s="14" t="s">
        <v>289</v>
      </c>
      <c r="L63" s="8" t="s">
        <v>56</v>
      </c>
    </row>
    <row r="64">
      <c r="A64" s="5">
        <v>162.0</v>
      </c>
      <c r="B64" s="6" t="s">
        <v>179</v>
      </c>
      <c r="C64" s="6" t="s">
        <v>136</v>
      </c>
      <c r="D64" s="7" t="str">
        <f>HYPERLINK("https://drive.google.com/file/d/1D39t9QiYZYmUeFQ8Fu2UAUymhJsc8gLE/view?usp=drivesdk","14549.jpg")</f>
        <v>14549.jpg</v>
      </c>
      <c r="E64" s="6" t="s">
        <v>290</v>
      </c>
      <c r="F64" s="6" t="s">
        <v>291</v>
      </c>
      <c r="G64" s="6" t="s">
        <v>292</v>
      </c>
      <c r="H64" s="12" t="s">
        <v>156</v>
      </c>
      <c r="I64" s="12" t="s">
        <v>61</v>
      </c>
      <c r="J64" s="12" t="s">
        <v>54</v>
      </c>
      <c r="K64" s="14" t="s">
        <v>293</v>
      </c>
      <c r="L64" s="8" t="s">
        <v>56</v>
      </c>
    </row>
    <row r="65">
      <c r="A65" s="5">
        <v>166.0</v>
      </c>
      <c r="B65" s="6" t="s">
        <v>179</v>
      </c>
      <c r="C65" s="6" t="s">
        <v>136</v>
      </c>
      <c r="D65" s="7" t="str">
        <f>HYPERLINK("https://drive.google.com/file/d/12aGGIYSYqbaMT9VWZREjpOWyAoqzmxvP/view?usp=drivesdk","9642.jpg")</f>
        <v>9642.jpg</v>
      </c>
      <c r="E65" s="6" t="s">
        <v>294</v>
      </c>
      <c r="F65" s="6" t="s">
        <v>295</v>
      </c>
      <c r="G65" s="6" t="s">
        <v>296</v>
      </c>
      <c r="H65" s="12" t="s">
        <v>60</v>
      </c>
      <c r="I65" s="12" t="s">
        <v>61</v>
      </c>
      <c r="J65" s="12" t="s">
        <v>54</v>
      </c>
      <c r="K65" s="14" t="s">
        <v>297</v>
      </c>
      <c r="L65" s="8" t="s">
        <v>56</v>
      </c>
    </row>
    <row r="66">
      <c r="A66" s="5">
        <v>174.0</v>
      </c>
      <c r="B66" s="6" t="s">
        <v>179</v>
      </c>
      <c r="C66" s="6" t="s">
        <v>136</v>
      </c>
      <c r="D66" s="7" t="str">
        <f>HYPERLINK("https://drive.google.com/file/d/1824RZZ_DUxRDsr7IGjShhWebjLZpM4Nk/view?usp=drivesdk","1856.jpg")</f>
        <v>1856.jpg</v>
      </c>
      <c r="E66" s="6" t="s">
        <v>298</v>
      </c>
      <c r="F66" s="6" t="s">
        <v>299</v>
      </c>
      <c r="G66" s="6" t="s">
        <v>300</v>
      </c>
      <c r="H66" s="12" t="s">
        <v>91</v>
      </c>
      <c r="I66" s="12" t="s">
        <v>54</v>
      </c>
      <c r="J66" s="14" t="s">
        <v>54</v>
      </c>
      <c r="K66" s="14" t="s">
        <v>252</v>
      </c>
      <c r="L66" s="8" t="s">
        <v>56</v>
      </c>
    </row>
    <row r="67">
      <c r="A67" s="5">
        <v>183.0</v>
      </c>
      <c r="B67" s="6" t="s">
        <v>179</v>
      </c>
      <c r="C67" s="6" t="s">
        <v>136</v>
      </c>
      <c r="D67" s="7" t="str">
        <f>HYPERLINK("https://drive.google.com/file/d/1eWPSSZS6UZDWMBBmveHh7Yp6J4J2uspV/view?usp=drivesdk","15180.jpg")</f>
        <v>15180.jpg</v>
      </c>
      <c r="E67" s="6" t="s">
        <v>301</v>
      </c>
      <c r="F67" s="6" t="s">
        <v>302</v>
      </c>
      <c r="G67" s="6" t="s">
        <v>303</v>
      </c>
      <c r="H67" s="12" t="s">
        <v>169</v>
      </c>
      <c r="I67" s="12" t="s">
        <v>54</v>
      </c>
      <c r="J67" s="12" t="s">
        <v>54</v>
      </c>
      <c r="K67" s="14" t="s">
        <v>304</v>
      </c>
      <c r="L67" s="8" t="s">
        <v>56</v>
      </c>
    </row>
    <row r="68">
      <c r="A68" s="5">
        <v>186.0</v>
      </c>
      <c r="B68" s="6" t="s">
        <v>179</v>
      </c>
      <c r="C68" s="6" t="s">
        <v>136</v>
      </c>
      <c r="D68" s="7" t="str">
        <f>HYPERLINK("https://drive.google.com/file/d/178-eVpzPubRst6QQ8yIQOdZP3als4Kw5/view?usp=drivesdk","16699.jpg")</f>
        <v>16699.jpg</v>
      </c>
      <c r="E68" s="6" t="s">
        <v>305</v>
      </c>
      <c r="F68" s="6" t="s">
        <v>306</v>
      </c>
      <c r="G68" s="6" t="s">
        <v>307</v>
      </c>
      <c r="H68" s="12" t="s">
        <v>105</v>
      </c>
      <c r="I68" s="12" t="s">
        <v>54</v>
      </c>
      <c r="J68" s="12" t="s">
        <v>54</v>
      </c>
      <c r="K68" s="12" t="s">
        <v>308</v>
      </c>
      <c r="L68" s="8" t="s">
        <v>56</v>
      </c>
    </row>
    <row r="69">
      <c r="A69" s="5">
        <v>187.0</v>
      </c>
      <c r="B69" s="6" t="s">
        <v>179</v>
      </c>
      <c r="C69" s="6" t="s">
        <v>136</v>
      </c>
      <c r="D69" s="7" t="str">
        <f>HYPERLINK("https://drive.google.com/file/d/1uBfjwHCSUd9yIrsxbT75adMeSAZNsQpN/view?usp=drivesdk","3120.jpg")</f>
        <v>3120.jpg</v>
      </c>
      <c r="E69" s="6" t="s">
        <v>309</v>
      </c>
      <c r="F69" s="6" t="s">
        <v>310</v>
      </c>
      <c r="G69" s="6" t="s">
        <v>311</v>
      </c>
      <c r="H69" s="12" t="s">
        <v>91</v>
      </c>
      <c r="I69" s="12" t="s">
        <v>54</v>
      </c>
      <c r="J69" s="14" t="s">
        <v>61</v>
      </c>
      <c r="K69" s="14" t="s">
        <v>312</v>
      </c>
      <c r="L69" s="8" t="s">
        <v>56</v>
      </c>
    </row>
    <row r="70">
      <c r="A70" s="5">
        <v>194.0</v>
      </c>
      <c r="B70" s="6" t="s">
        <v>179</v>
      </c>
      <c r="C70" s="6" t="s">
        <v>136</v>
      </c>
      <c r="D70" s="7" t="str">
        <f>HYPERLINK("https://drive.google.com/file/d/1FBehRxRfi8e_CBd4Fnku_sU8tM43bWMm/view?usp=drivesdk","16385.jpg")</f>
        <v>16385.jpg</v>
      </c>
      <c r="E70" s="6" t="s">
        <v>313</v>
      </c>
      <c r="F70" s="6" t="s">
        <v>314</v>
      </c>
      <c r="G70" s="6" t="s">
        <v>315</v>
      </c>
      <c r="H70" s="12" t="s">
        <v>91</v>
      </c>
      <c r="I70" s="12" t="s">
        <v>54</v>
      </c>
      <c r="J70" s="14" t="s">
        <v>61</v>
      </c>
      <c r="K70" s="14" t="s">
        <v>316</v>
      </c>
      <c r="L70" s="8" t="s">
        <v>56</v>
      </c>
    </row>
    <row r="71">
      <c r="A71" s="5">
        <v>197.0</v>
      </c>
      <c r="B71" s="6" t="s">
        <v>179</v>
      </c>
      <c r="C71" s="6" t="s">
        <v>136</v>
      </c>
      <c r="D71" s="7" t="str">
        <f>HYPERLINK("https://drive.google.com/file/d/17BUV9U3KR-I3NB9H0BdX2hkQQ1c_cgJ7/view?usp=drivesdk","9527.jpg")</f>
        <v>9527.jpg</v>
      </c>
      <c r="E71" s="6" t="s">
        <v>290</v>
      </c>
      <c r="F71" s="6" t="s">
        <v>317</v>
      </c>
      <c r="G71" s="6" t="s">
        <v>318</v>
      </c>
      <c r="H71" s="12" t="s">
        <v>169</v>
      </c>
      <c r="I71" s="12" t="s">
        <v>54</v>
      </c>
      <c r="J71" s="12" t="s">
        <v>54</v>
      </c>
      <c r="K71" s="14" t="s">
        <v>319</v>
      </c>
      <c r="L71" s="8" t="s">
        <v>56</v>
      </c>
    </row>
    <row r="72">
      <c r="A72" s="5">
        <v>198.0</v>
      </c>
      <c r="B72" s="6" t="s">
        <v>179</v>
      </c>
      <c r="C72" s="6" t="s">
        <v>136</v>
      </c>
      <c r="D72" s="7" t="str">
        <f>HYPERLINK("https://drive.google.com/file/d/1_eE_4LTjDrIFvrPkzYRlIw-ejOApiHK3/view?usp=drivesdk","9365.jpg")</f>
        <v>9365.jpg</v>
      </c>
      <c r="E72" s="6" t="s">
        <v>320</v>
      </c>
      <c r="F72" s="6" t="s">
        <v>321</v>
      </c>
      <c r="G72" s="6" t="s">
        <v>322</v>
      </c>
      <c r="H72" s="12" t="s">
        <v>60</v>
      </c>
      <c r="I72" s="12" t="s">
        <v>61</v>
      </c>
      <c r="J72" s="12" t="s">
        <v>54</v>
      </c>
      <c r="K72" s="14" t="s">
        <v>323</v>
      </c>
      <c r="L72" s="8" t="s">
        <v>56</v>
      </c>
    </row>
    <row r="73">
      <c r="A73" s="5">
        <v>200.0</v>
      </c>
      <c r="B73" s="6" t="s">
        <v>179</v>
      </c>
      <c r="C73" s="6" t="s">
        <v>136</v>
      </c>
      <c r="D73" s="7" t="str">
        <f>HYPERLINK("https://drive.google.com/file/d/1P37rwIWl1QoQaeyHzRe6K1RVlZ4wLkrk/view?usp=drivesdk","13849.jpg")</f>
        <v>13849.jpg</v>
      </c>
      <c r="E73" s="6" t="s">
        <v>324</v>
      </c>
      <c r="F73" s="6" t="s">
        <v>325</v>
      </c>
      <c r="G73" s="6" t="s">
        <v>326</v>
      </c>
      <c r="H73" s="12" t="s">
        <v>169</v>
      </c>
      <c r="I73" s="12" t="s">
        <v>54</v>
      </c>
      <c r="J73" s="12" t="s">
        <v>54</v>
      </c>
      <c r="K73" s="14" t="s">
        <v>327</v>
      </c>
      <c r="L73" s="8" t="s">
        <v>56</v>
      </c>
    </row>
  </sheetData>
  <dataValidations>
    <dataValidation type="list" allowBlank="1" showErrorMessage="1" sqref="I2:J11">
      <formula1>"Có,Không"</formula1>
    </dataValidation>
    <dataValidation type="list" allowBlank="1" showErrorMessage="1" sqref="H2:H11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  <dataValidation type="list" allowBlank="1" showErrorMessage="1" sqref="H12:H73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  <dataValidation type="list" allowBlank="1" showErrorMessage="1" sqref="I12:J73">
      <formula1>"Có,Không"</formula1>
    </dataValidation>
  </dataValidations>
  <drawing r:id="rId1"/>
</worksheet>
</file>