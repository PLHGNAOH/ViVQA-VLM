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uong_dan" sheetId="1" r:id="rId5"/>
    <sheet state="visible" name="error_audit" sheetId="2" r:id="rId6"/>
  </sheets>
  <definedNames/>
  <calcPr/>
</workbook>
</file>

<file path=xl/sharedStrings.xml><?xml version="1.0" encoding="utf-8"?>
<sst xmlns="http://schemas.openxmlformats.org/spreadsheetml/2006/main" count="680" uniqueCount="302">
  <si>
    <t>Hướng dẫn gán nhãn lỗi B2 — W07 error audit</t>
  </si>
  <si>
    <t>stt</t>
  </si>
  <si>
    <t>Việc cần làm</t>
  </si>
  <si>
    <t>phan</t>
  </si>
  <si>
    <t>dataset</t>
  </si>
  <si>
    <t>Với mỗi dòng: mở ảnh (link cột anh), đọc câu hỏi, gold và câu trả lời B2. Chọn 3 ô vàng bằng dropdown, ghi chú nếu cần, điền tên mình ở nguoi_duyet.</t>
  </si>
  <si>
    <t>anh</t>
  </si>
  <si>
    <t>Thứ tự</t>
  </si>
  <si>
    <t>LÀM PHẦN "hieu_chinh" (20 dòng, tô xanh) TRƯỚC rồi báo trưởng nhóm. Sau đó làm phần "rieng".</t>
  </si>
  <si>
    <t>Làm độc lập</t>
  </si>
  <si>
    <t>KHÔNG hỏi nhau đáp án, không mở file của người khác. Dòng khó: chọn nhãn hợp lý nhất + ghi rõ phân vân ở ghi_chu.</t>
  </si>
  <si>
    <t>Chỉ chấm B2</t>
  </si>
  <si>
    <t>B2 là mô hình đã fine-tune (QLoRA). Mọi dòng đều là câu B2 bị chấm SAI theo Exact Match; việc của mình là tìm NGUYÊN NHÂN.</t>
  </si>
  <si>
    <t>loai_loi = 1 nguyên nhân chính</t>
  </si>
  <si>
    <t xml:space="preserve">  Gold sai / nhiễu</t>
  </si>
  <si>
    <t>Chữ trong ảnh khác gold; hoặc câu hỏi không khớp ảnh; hoặc ảnh không đủ thông tin để trả lời.</t>
  </si>
  <si>
    <t xml:space="preserve">  Định dạng / độ dài (ý đúng)</t>
  </si>
  <si>
    <t>B2 đúng nội dung, chỉ thừa/thiếu chữ phụ, khác khoảng trắng/ký hiệu (vd "2km" vs "2 km", "bạch mai" vs "phòng giao dịch bạch mai").</t>
  </si>
  <si>
    <t xml:space="preserve">  Đồng nghĩa / khác từ (ý đúng)</t>
  </si>
  <si>
    <t>B2 dùng từ khác nhưng người bình thường chấp nhận (vd "phòng tắm" cho "nhà vệ sinh").</t>
  </si>
  <si>
    <t xml:space="preserve">  Đọc chữ sai (OCR)</t>
  </si>
  <si>
    <t>B2 đọc ĐÚNG CHỖ nhưng sai ký tự/chữ số (vd "0979 812 284" thay vì "815").</t>
  </si>
  <si>
    <t xml:space="preserve">  Sai dấu thanh</t>
  </si>
  <si>
    <t>Chỉ sai dấu (vd "tay" thay vì "tây").</t>
  </si>
  <si>
    <t xml:space="preserve">  Sai vùng / không có trong ảnh</t>
  </si>
  <si>
    <t>B2 đọc một dòng chữ KHÁC có thật trong ảnh, hoặc nói thứ không có trong ảnh.</t>
  </si>
  <si>
    <t xml:space="preserve">  Code-switching</t>
  </si>
  <si>
    <t>B2 trả lời bằng tiếng Anh trong khi gold tiếng Việt.</t>
  </si>
  <si>
    <t xml:space="preserve">  Đếm sai</t>
  </si>
  <si>
    <t>Câu hỏi đếm, B2 ra số khác.</t>
  </si>
  <si>
    <t xml:space="preserve">  Khác</t>
  </si>
  <si>
    <t>Không thuộc nhóm nào ở trên (ghi chú lý do).</t>
  </si>
  <si>
    <t>b2_dung_nghia</t>
  </si>
  <si>
    <t>Có = một người đọc bình thường sẽ chấp nhận câu trả lời B2. Sai dấu mà đổi nghĩa (di sản → đi săn) = Không.</t>
  </si>
  <si>
    <t>question</t>
  </si>
  <si>
    <t>hallucination</t>
  </si>
  <si>
    <t>Có = B2 nói ra thứ KHÔNG có trong ảnh. Đọc nhầm sang dòng chữ khác CÓ THẬT trong ảnh = Không.</t>
  </si>
  <si>
    <t>gold</t>
  </si>
  <si>
    <t>Quy tắc ràng buộc</t>
  </si>
  <si>
    <t>B2</t>
  </si>
  <si>
    <t>Hai nhãn "(ý đúng)" luôn đi với b2_dung_nghia = Có. hallucination = Có chỉ đi với "Sai vùng…" hoặc "Gold sai / nhiễu".</t>
  </si>
  <si>
    <t>Thời gian</t>
  </si>
  <si>
    <t>loai_loi</t>
  </si>
  <si>
    <t>≈30–40 giây/dòng; ~60 dòng ≈ 35–45 phút. Chia 2 đợt cho đỡ mỏi.</t>
  </si>
  <si>
    <t>Sau khi xong</t>
  </si>
  <si>
    <t>Báo trưởng nhóm. Không cần gửi file — trưởng nhóm tự tải về.</t>
  </si>
  <si>
    <t>ghi_chu</t>
  </si>
  <si>
    <t>nguoi_duyet</t>
  </si>
  <si>
    <t>hieu_chinh</t>
  </si>
  <si>
    <t>vivqa</t>
  </si>
  <si>
    <t>nơi để đồ cho trẻ mới biết đi và đeo ván trượt, mỉm cười trước ống kính ở đâu</t>
  </si>
  <si>
    <t>trượt tuyết</t>
  </si>
  <si>
    <t>đường bộ</t>
  </si>
  <si>
    <t>Gold sai / nhiễu</t>
  </si>
  <si>
    <t>Không</t>
  </si>
  <si>
    <t>hỏi để đồ ở đâu mà trả lời hành động</t>
  </si>
  <si>
    <t>truong</t>
  </si>
  <si>
    <t>màu của quả táo là gì</t>
  </si>
  <si>
    <t>màu cam</t>
  </si>
  <si>
    <t>màu xanh lá</t>
  </si>
  <si>
    <t>Có</t>
  </si>
  <si>
    <t>táo mà xanh còn quả cam màu cam</t>
  </si>
  <si>
    <t>những gì được lót bằng cây xanh bên cạnh băng ghế công viên</t>
  </si>
  <si>
    <t>lối đi</t>
  </si>
  <si>
    <t>Đồng nghĩa / khác từ (ý đúng)</t>
  </si>
  <si>
    <t>cả 2 nghĩa như nhau chấp nhận được</t>
  </si>
  <si>
    <t>người đàn ông trên ván trượt tuyết rơi xuống cái gì</t>
  </si>
  <si>
    <t>núi</t>
  </si>
  <si>
    <t>vách đá</t>
  </si>
  <si>
    <t>chỉ có ngã ở vách đá chứ kh ngã ở núi</t>
  </si>
  <si>
    <t>những gì được hiển thị với thức ăn bên trong</t>
  </si>
  <si>
    <t>tủ đông</t>
  </si>
  <si>
    <t>tủ đá</t>
  </si>
  <si>
    <t>tủ đá tủ đông như nhau</t>
  </si>
  <si>
    <t>màu của đĩa là gì</t>
  </si>
  <si>
    <t>màu vàng</t>
  </si>
  <si>
    <t>đĩa màu vàng</t>
  </si>
  <si>
    <t>con chó canh gác đang ngồi ở đâu và chạy đi</t>
  </si>
  <si>
    <t>ca nô</t>
  </si>
  <si>
    <t>con thuyền</t>
  </si>
  <si>
    <t>trong ảnh là thuyền, gold "cano" là sai</t>
  </si>
  <si>
    <t>nhà vệ sinh đã dời đi đâu</t>
  </si>
  <si>
    <t>buồng</t>
  </si>
  <si>
    <t>hộp</t>
  </si>
  <si>
    <t>buồng với hộp có thể chấp nhận được</t>
  </si>
  <si>
    <t>cái bánh rán mờ nào trên đĩa với một tách cà phê và một chiếc hộp đựng khăn ăn cho chim cánh cụt</t>
  </si>
  <si>
    <t>sô cô la</t>
  </si>
  <si>
    <t>donut</t>
  </si>
  <si>
    <t>trong ảnh là donut, gold"socola" là sai</t>
  </si>
  <si>
    <t>chuyến tàu nào ra khỏi nhà ga</t>
  </si>
  <si>
    <t>tàu</t>
  </si>
  <si>
    <t>tàu hỏa</t>
  </si>
  <si>
    <t>tàu với tàu hỏa như nhau chấp nhận được</t>
  </si>
  <si>
    <t>vitextvqa</t>
  </si>
  <si>
    <t>tuyên nguyễn là tên của cửa tiệm chuyên việc gì ?</t>
  </si>
  <si>
    <t>photocopy</t>
  </si>
  <si>
    <t>photo - coppy</t>
  </si>
  <si>
    <t>Định dạng / độ dài (ý đúng)</t>
  </si>
  <si>
    <t>thêm dấu gach ngang bị thừa</t>
  </si>
  <si>
    <t>nội dung bức hình là gì ?</t>
  </si>
  <si>
    <t>hoa kì phản đối hành vi gây hấn và khiêu khích của trung quốc</t>
  </si>
  <si>
    <t>hoa kỳ phản đối hành vi gây hấn và khiêu khích của trung quốc</t>
  </si>
  <si>
    <t>đúng</t>
  </si>
  <si>
    <t>cửa hàng bên phải tên gì ?</t>
  </si>
  <si>
    <t>organic celery</t>
  </si>
  <si>
    <t>organic</t>
  </si>
  <si>
    <t>Đọc chữ sai (OCR)</t>
  </si>
  <si>
    <t>thiếu chữ celary</t>
  </si>
  <si>
    <t>đây là nước nào ?</t>
  </si>
  <si>
    <t>nước cộng hòa xã hội chủ nghĩa việt nam</t>
  </si>
  <si>
    <t>cộng hòa xã hội chủ nghĩa việt nam</t>
  </si>
  <si>
    <t>thiếu chữ nước những tạm chấp nhận được</t>
  </si>
  <si>
    <t>chủ tiệm mắt kính là ai ?</t>
  </si>
  <si>
    <t>dr . minh tây</t>
  </si>
  <si>
    <t>dr . minh tay</t>
  </si>
  <si>
    <t>Sai dấu thanh</t>
  </si>
  <si>
    <t>tây thành tay</t>
  </si>
  <si>
    <t>quãng đường đến ubnd xã bình châu còn bao lâu ?</t>
  </si>
  <si>
    <t>2 km</t>
  </si>
  <si>
    <t>2km</t>
  </si>
  <si>
    <t>bức hình đề cập đến điều gì ?</t>
  </si>
  <si>
    <t>chợ sale sài gòn</t>
  </si>
  <si>
    <t>chợ sài gòn</t>
  </si>
  <si>
    <t>thiếu chữ sale</t>
  </si>
  <si>
    <t>số điện thoại hotline để liên lạc cho yamaguchi là gì ?</t>
  </si>
  <si>
    <t>036 456 8777 - 081 777 6986</t>
  </si>
  <si>
    <t>035 456 8777 081 777 6986</t>
  </si>
  <si>
    <t>sai 1 số "6" thành số "5" và thiếu gạch ngang</t>
  </si>
  <si>
    <t>trái cây ở tiệm mỹ nhàn được cung cấp như thế nào ?</t>
  </si>
  <si>
    <t>nhập khẩu</t>
  </si>
  <si>
    <t>chưa loại dụng cụ</t>
  </si>
  <si>
    <t>Sai vùng / không có trong ảnh (hallucination)</t>
  </si>
  <si>
    <t>đọc nhầm sang biển hiệu bên trái</t>
  </si>
  <si>
    <t>gian hàng này của ai ?</t>
  </si>
  <si>
    <t>tổng cục quản lý thị trường cục quản lý thị trường</t>
  </si>
  <si>
    <t>tổng cục quản lý thị trường cục quản lý thị trường tỉnh bắc ninh</t>
  </si>
  <si>
    <t>rieng</t>
  </si>
  <si>
    <t>chuối và các thành phần khác ở đâu</t>
  </si>
  <si>
    <t>cái nồi</t>
  </si>
  <si>
    <t>bát</t>
  </si>
  <si>
    <t>tự bịa ra cái bát, trong ảnh là máy xay, gold"cái nồi" là sai</t>
  </si>
  <si>
    <t>màu của áo là gì</t>
  </si>
  <si>
    <t>màu đỏ</t>
  </si>
  <si>
    <t>màu tía</t>
  </si>
  <si>
    <t xml:space="preserve">màu áo là máu tía nhưng màu áo phao màu đỏ </t>
  </si>
  <si>
    <t>màu của mảnh là gì</t>
  </si>
  <si>
    <t>màu nâu</t>
  </si>
  <si>
    <t>mảnh màu nâu nhưng gold màu đỏ là sai</t>
  </si>
  <si>
    <t>có bao nhiêu người đàn ông trong nhà bếp, hai người đang ngồi trên quầy</t>
  </si>
  <si>
    <t>năm</t>
  </si>
  <si>
    <t>bốn</t>
  </si>
  <si>
    <t>Đếm sai</t>
  </si>
  <si>
    <t>5 người còn có 4 người</t>
  </si>
  <si>
    <t>người đàn ông trên con ngựa là gì?</t>
  </si>
  <si>
    <t>con bò</t>
  </si>
  <si>
    <t>con cừu</t>
  </si>
  <si>
    <t>gold là con bò b2 trả lời con cừu</t>
  </si>
  <si>
    <t>người đàn ông ngửi thấy mùi gì trước khi uống nó trong buổi thử rượu</t>
  </si>
  <si>
    <t>rượu</t>
  </si>
  <si>
    <t>nước</t>
  </si>
  <si>
    <t>gold là rượu b2 reply là nước</t>
  </si>
  <si>
    <t>gạo, trái cây và rau quả ở đâu</t>
  </si>
  <si>
    <t>cái mâm</t>
  </si>
  <si>
    <t>thùng chứa</t>
  </si>
  <si>
    <t>đều có cái mâm và "thùng chứa" trong ảnh</t>
  </si>
  <si>
    <t>người đội mũ bảo hiểm và cầm một vài món hàng ở đâu</t>
  </si>
  <si>
    <t>cái túi</t>
  </si>
  <si>
    <t>đường phố</t>
  </si>
  <si>
    <t>trong ảnh là đường phố, gold chỉ đồ vật = sai</t>
  </si>
  <si>
    <t>nữ cưỡi ngựa cho thấy những gì thông qua những bước đi của nó</t>
  </si>
  <si>
    <t>con ngựa</t>
  </si>
  <si>
    <t>cái rào</t>
  </si>
  <si>
    <t>gold kh phù hợp vơi câu trả lòi</t>
  </si>
  <si>
    <t>xe đạp và xe máy đã xếp hàng ở đâu</t>
  </si>
  <si>
    <t>tòa nhà</t>
  </si>
  <si>
    <t>cửa tiệm</t>
  </si>
  <si>
    <t>cửa hàng trong tòa nha về mặt ý nghĩa đúng</t>
  </si>
  <si>
    <t>cái gì ngồi một mình trên băng ghế công viên</t>
  </si>
  <si>
    <t>cái ví</t>
  </si>
  <si>
    <t>túi</t>
  </si>
  <si>
    <t>trong ảnh cái túi gold "ví" là sai</t>
  </si>
  <si>
    <t>con chó trong công viên đang chơi là gì</t>
  </si>
  <si>
    <t>dĩa</t>
  </si>
  <si>
    <t>đĩa</t>
  </si>
  <si>
    <t>cái dĩa hay đĩa đều đúng</t>
  </si>
  <si>
    <t>có bao nhiêu con vật đang đứng trên con đường lát đá có vài người và một chiếc xe máy đang đậu</t>
  </si>
  <si>
    <t>ba</t>
  </si>
  <si>
    <t>trong ảnh là 4 con bò gold chỉ có ba</t>
  </si>
  <si>
    <t>những gì bên cạnh đại dương dưới một bầu trời chứa đầy diều</t>
  </si>
  <si>
    <t>bờ biển</t>
  </si>
  <si>
    <t>bãi biển</t>
  </si>
  <si>
    <t>bãi biển với bờ biển cũng mang cùng ý nghĩa</t>
  </si>
  <si>
    <t>màu trắng</t>
  </si>
  <si>
    <t>Khác</t>
  </si>
  <si>
    <t>có 2 màu áo trong ảnh</t>
  </si>
  <si>
    <t>màu của ván trượt là gì</t>
  </si>
  <si>
    <t>màu đen</t>
  </si>
  <si>
    <t>màu xanh dương</t>
  </si>
  <si>
    <t xml:space="preserve">trong ảnh ván trượt đen </t>
  </si>
  <si>
    <t>hai chàng trai và một cô gái đang ngồi ở đâu và các chàng trai đang chơi wii</t>
  </si>
  <si>
    <t>phòng ngủ</t>
  </si>
  <si>
    <t>phòng</t>
  </si>
  <si>
    <t xml:space="preserve">đúng </t>
  </si>
  <si>
    <t>đâu là nhiều bánh mì và đồ ngọt</t>
  </si>
  <si>
    <t>cửa sổ</t>
  </si>
  <si>
    <t>cửa hàng</t>
  </si>
  <si>
    <t>đang phân vân giữa cửa hàng cửa số cảm giác đều đúng</t>
  </si>
  <si>
    <t>màu của con mèo là gì</t>
  </si>
  <si>
    <t>mèo trong ảnh màu cam, gold màu trắng</t>
  </si>
  <si>
    <t>một đống thức ăn đang để ở đâu</t>
  </si>
  <si>
    <t>chảo</t>
  </si>
  <si>
    <t>trường hợp này "chảo" hay "mâm" đều đúng</t>
  </si>
  <si>
    <t>ted osius là ai ?</t>
  </si>
  <si>
    <t>cựu đại sứ quán mỹ tại việt nam</t>
  </si>
  <si>
    <t>cựu đại sứ mỹ tại việt nam</t>
  </si>
  <si>
    <t>thiếu từ "quán" nhưng vẫn mang ý đúng</t>
  </si>
  <si>
    <t>tên nội dung của bài báo ?</t>
  </si>
  <si>
    <t>sài gòn xưa</t>
  </si>
  <si>
    <t>saigon xưa</t>
  </si>
  <si>
    <t>sài gòn viết kh dấu và dính liền</t>
  </si>
  <si>
    <t>vé vào cổng được miễn phí trong khoảng thời gian nào ?</t>
  </si>
  <si>
    <t>từ 8h30 đến 15h30</t>
  </si>
  <si>
    <t>22 / 01 / 2021 - 27 / 01 / 2021</t>
  </si>
  <si>
    <t>đọc sai vùng</t>
  </si>
  <si>
    <t>mục tiêu của vineco là gì ?</t>
  </si>
  <si>
    <t>nông sản sạch cho mọi nhà</t>
  </si>
  <si>
    <t>rau củ tiêu chuẩn việt nam</t>
  </si>
  <si>
    <t>bên phải dòng người có bán gì ?</t>
  </si>
  <si>
    <t>coffee</t>
  </si>
  <si>
    <t>đồ nâu</t>
  </si>
  <si>
    <t>sai mục tiêu cần hỏi</t>
  </si>
  <si>
    <t>trà sâm bí đao như thế nào ?</t>
  </si>
  <si>
    <t>thổi bay cơn nóng</t>
  </si>
  <si>
    <t>ngọ gia</t>
  </si>
  <si>
    <t>đồ ăn từ nhà hàng tuyết thanh được lấy từ đâu ?</t>
  </si>
  <si>
    <t>rừng và biển</t>
  </si>
  <si>
    <t>ng và biển</t>
  </si>
  <si>
    <t>đọc thiếu chữ rừng</t>
  </si>
  <si>
    <t>tên được ghi trên chiếc áo thi đấu trong ảnh là gì ?</t>
  </si>
  <si>
    <t>ăn cơm cháy</t>
  </si>
  <si>
    <t>ăn cỏm cháy</t>
  </si>
  <si>
    <t>sai ký tự nhưng đọc vẫn hiểu muốn nói gì</t>
  </si>
  <si>
    <t>thương hiệu trà sữa trong hình có tên là gì ?</t>
  </si>
  <si>
    <t>phuclong</t>
  </si>
  <si>
    <t>phuc long</t>
  </si>
  <si>
    <t>đúng nhưng gold kh có khoảng trắng b2 lại có</t>
  </si>
  <si>
    <t>mọi người đang đứng trước trung tâm gì ?</t>
  </si>
  <si>
    <t>saigon centre</t>
  </si>
  <si>
    <t>saigoncentre</t>
  </si>
  <si>
    <t>thiếu khoảng cách nhưng chấp nhận được</t>
  </si>
  <si>
    <t>số điện thoại liên hệ của cửa hàng này là gì ?</t>
  </si>
  <si>
    <t>02513 844 070 - 0940 654 070</t>
  </si>
  <si>
    <t>0935 284 684</t>
  </si>
  <si>
    <t>bịa ra sdt</t>
  </si>
  <si>
    <t>1 thùng sữa milo có bao nhiêu hộp ?</t>
  </si>
  <si>
    <t>48 hộp x 180ml</t>
  </si>
  <si>
    <t>48 hộp x 100ml</t>
  </si>
  <si>
    <t>đọc sai chỗ 180ml thành 100ml</t>
  </si>
  <si>
    <t>quán góc việt là quán ẩm thực gì ?</t>
  </si>
  <si>
    <t>việt - hàn</t>
  </si>
  <si>
    <t>viet - hàn</t>
  </si>
  <si>
    <t>chữ việt thiếu dấu</t>
  </si>
  <si>
    <t>nguồn sở hữu tấm ảnh này là ai ?</t>
  </si>
  <si>
    <t>inoxgiacong . net</t>
  </si>
  <si>
    <t>inox quảng ngãi</t>
  </si>
  <si>
    <t>sai vùng để đọc</t>
  </si>
  <si>
    <t>quán ăn này có tên là gì ?</t>
  </si>
  <si>
    <t>ssail chicken</t>
  </si>
  <si>
    <t>saad chicken</t>
  </si>
  <si>
    <t>sai ten của hàng</t>
  </si>
  <si>
    <t>năm đây là năm gì ?</t>
  </si>
  <si>
    <t>quý dần</t>
  </si>
  <si>
    <t>2021</t>
  </si>
  <si>
    <t>tự bịa ra năm 2021</t>
  </si>
  <si>
    <t>công ty kbc như thế nào ?</t>
  </si>
  <si>
    <t>đời đời nhớ ơn các anh hùng liệt sỹ</t>
  </si>
  <si>
    <t>đội đội nỏ ôn các anh hùng liệt sỹ</t>
  </si>
  <si>
    <t>sai khẩu hiệu</t>
  </si>
  <si>
    <t>cửa hàng ở bên phải bức ảnh có tên là gì ?</t>
  </si>
  <si>
    <t>tấn đạt</t>
  </si>
  <si>
    <t>viettel</t>
  </si>
  <si>
    <t>viettel là tên thương hiệu kh phải tên của hàng</t>
  </si>
  <si>
    <t>cửa hàng nằm bên phải hotgirl shop có tên gì ?</t>
  </si>
  <si>
    <t>pé bùm</t>
  </si>
  <si>
    <t>b &amp; bum boutique</t>
  </si>
  <si>
    <t>đọc sai bảng hiệu</t>
  </si>
  <si>
    <t>nhà thiết kế cho trang phục tên gì ?</t>
  </si>
  <si>
    <t>thủy nguyễn</t>
  </si>
  <si>
    <t>thúy nguyễn</t>
  </si>
  <si>
    <t xml:space="preserve">sai tên </t>
  </si>
  <si>
    <t>đây là buổi lễ gì ?</t>
  </si>
  <si>
    <t>lễ ra mắt</t>
  </si>
  <si>
    <t>ra mắt</t>
  </si>
  <si>
    <t>thiếu chữ lễ nhưng vấn đúng</t>
  </si>
  <si>
    <t>đại chỉ của nhà cổ ở đâu ?</t>
  </si>
  <si>
    <t>nguyen thi minh khai - hoi an</t>
  </si>
  <si>
    <t>4 - nguyễn thị mến khai - hiếu an</t>
  </si>
  <si>
    <t>đọc sai</t>
  </si>
  <si>
    <t>mọi người đang đứng ở bàn nào ?</t>
  </si>
  <si>
    <t>đọc sách</t>
  </si>
  <si>
    <t>bán đọc sách</t>
  </si>
  <si>
    <t>"bán" sai dấu đổi nghĩa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</si>
</sst>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13294B"/>
        <bgColor rgb="FF13294B"/>
      </patternFill>
    </fill>
    <fill>
      <patternFill patternType="solid">
        <fgColor rgb="FFDDEBF7"/>
        <bgColor rgb="FFDDEBF7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0" fontId="3" numFmtId="0" xfId="0" applyAlignment="1" applyFont="1">
      <alignment readingOrder="0" shrinkToFit="0" vertical="top" wrapText="1"/>
    </xf>
    <xf borderId="0" fillId="0" fontId="3" numFmtId="0" xfId="0" applyAlignment="1" applyFont="1">
      <alignment shrinkToFit="0" vertical="top" wrapText="1"/>
    </xf>
    <xf borderId="0" fillId="3" fontId="3" numFmtId="0" xfId="0" applyAlignment="1" applyFill="1" applyFont="1">
      <alignment readingOrder="0" shrinkToFit="0" vertical="top" wrapText="1"/>
    </xf>
    <xf borderId="0" fillId="3" fontId="3" numFmtId="49" xfId="0" applyAlignment="1" applyFill="1" applyFont="1" applyNumberFormat="1">
      <alignment readingOrder="0" shrinkToFit="0" vertical="top" wrapText="1"/>
    </xf>
    <xf borderId="0" fillId="3" fontId="4" numFmtId="49" xfId="0" applyAlignment="1" applyFill="1" applyFont="1" applyNumberFormat="1">
      <alignment readingOrder="0" shrinkToFit="0" vertical="top" wrapText="1"/>
    </xf>
    <xf borderId="0" fillId="4" fontId="3" numFmtId="49" xfId="0" applyAlignment="1" applyFill="1" applyFont="1" applyNumberFormat="1">
      <alignment readingOrder="0" shrinkToFit="0" vertical="top" wrapText="1"/>
    </xf>
    <xf borderId="0" fillId="0" fontId="3" numFmtId="0" xfId="0" applyAlignment="1" applyFont="1">
      <alignment readingOrder="0" shrinkToFit="0" vertical="top" wrapText="1"/>
    </xf>
    <xf borderId="0" fillId="0" fontId="3" numFmtId="49" xfId="0" applyAlignment="1" applyFont="1" applyNumberFormat="1">
      <alignment readingOrder="0" shrinkToFit="0" vertical="top" wrapText="1"/>
    </xf>
    <xf borderId="0" fillId="0" fontId="5" numFmtId="49" xfId="0" applyAlignment="1" applyFont="1" applyNumberForma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63"/>
    <col customWidth="1" min="2" max="2" width="102.63"/>
  </cols>
  <sheetData>
    <row r="1">
      <c r="A1" s="1" t="s">
        <v>0</v>
      </c>
    </row>
    <row r="3">
      <c r="A3" s="3" t="s">
        <v>2</v>
      </c>
      <c r="B3" s="3" t="s">
        <v>5</v>
      </c>
    </row>
    <row r="4">
      <c r="A4" s="3" t="s">
        <v>7</v>
      </c>
      <c r="B4" s="3" t="s">
        <v>8</v>
      </c>
    </row>
    <row r="5">
      <c r="A5" s="3" t="s">
        <v>9</v>
      </c>
      <c r="B5" s="3" t="s">
        <v>10</v>
      </c>
    </row>
    <row r="6">
      <c r="A6" s="3" t="s">
        <v>11</v>
      </c>
      <c r="B6" s="3" t="s">
        <v>12</v>
      </c>
    </row>
    <row r="7">
      <c r="A7" s="3" t="s">
        <v>13</v>
      </c>
      <c r="B7" s="4"/>
    </row>
    <row r="8">
      <c r="A8" s="3" t="s">
        <v>14</v>
      </c>
      <c r="B8" s="3" t="s">
        <v>15</v>
      </c>
    </row>
    <row r="9">
      <c r="A9" s="3" t="s">
        <v>16</v>
      </c>
      <c r="B9" s="3" t="s">
        <v>17</v>
      </c>
    </row>
    <row r="10">
      <c r="A10" s="3" t="s">
        <v>18</v>
      </c>
      <c r="B10" s="3" t="s">
        <v>19</v>
      </c>
    </row>
    <row r="11">
      <c r="A11" s="3" t="s">
        <v>20</v>
      </c>
      <c r="B11" s="3" t="s">
        <v>21</v>
      </c>
    </row>
    <row r="12">
      <c r="A12" s="3" t="s">
        <v>22</v>
      </c>
      <c r="B12" s="3" t="s">
        <v>23</v>
      </c>
    </row>
    <row r="13">
      <c r="A13" s="3" t="s">
        <v>24</v>
      </c>
      <c r="B13" s="3" t="s">
        <v>25</v>
      </c>
    </row>
    <row r="14">
      <c r="A14" s="3" t="s">
        <v>26</v>
      </c>
      <c r="B14" s="3" t="s">
        <v>27</v>
      </c>
    </row>
    <row r="15">
      <c r="A15" s="3" t="s">
        <v>28</v>
      </c>
      <c r="B15" s="3" t="s">
        <v>29</v>
      </c>
    </row>
    <row r="16">
      <c r="A16" s="3" t="s">
        <v>30</v>
      </c>
      <c r="B16" s="3" t="s">
        <v>31</v>
      </c>
    </row>
    <row r="17">
      <c r="A17" s="3" t="s">
        <v>32</v>
      </c>
      <c r="B17" s="3" t="s">
        <v>33</v>
      </c>
    </row>
    <row r="18">
      <c r="A18" s="3" t="s">
        <v>35</v>
      </c>
      <c r="B18" s="3" t="s">
        <v>36</v>
      </c>
    </row>
    <row r="19">
      <c r="A19" s="3" t="s">
        <v>38</v>
      </c>
      <c r="B19" s="3" t="s">
        <v>40</v>
      </c>
    </row>
    <row r="20">
      <c r="A20" s="3" t="s">
        <v>41</v>
      </c>
      <c r="B20" s="3" t="s">
        <v>43</v>
      </c>
    </row>
    <row r="21">
      <c r="A21" s="3" t="s">
        <v>44</v>
      </c>
      <c r="B21" s="3" t="s">
        <v>45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6.38"/>
    <col customWidth="1" min="2" max="3" width="10.75"/>
    <col customWidth="1" min="4" max="4" width="21.38"/>
    <col customWidth="1" min="5" max="5" width="41.38"/>
    <col customWidth="1" min="6" max="7" width="27.63"/>
    <col customWidth="1" min="8" max="8" width="31.38"/>
    <col customWidth="1" min="9" max="10" width="13.25"/>
    <col customWidth="1" min="11" max="11" width="30.13"/>
    <col customWidth="1" min="12" max="12" width="13.88"/>
  </cols>
  <sheetData>
    <row r="1">
      <c r="A1" s="2" t="s">
        <v>1</v>
      </c>
      <c r="B1" s="2" t="s">
        <v>3</v>
      </c>
      <c r="C1" s="2" t="s">
        <v>4</v>
      </c>
      <c r="D1" s="2" t="s">
        <v>6</v>
      </c>
      <c r="E1" s="2" t="s">
        <v>34</v>
      </c>
      <c r="F1" s="2" t="s">
        <v>37</v>
      </c>
      <c r="G1" s="2" t="s">
        <v>39</v>
      </c>
      <c r="H1" s="2" t="s">
        <v>42</v>
      </c>
      <c r="I1" s="2" t="s">
        <v>32</v>
      </c>
      <c r="J1" s="2" t="s">
        <v>35</v>
      </c>
      <c r="K1" s="2" t="s">
        <v>46</v>
      </c>
      <c r="L1" s="2" t="s">
        <v>47</v>
      </c>
    </row>
    <row r="2">
      <c r="A2" s="5">
        <v>12.0</v>
      </c>
      <c r="B2" s="6" t="s">
        <v>48</v>
      </c>
      <c r="C2" s="6" t="s">
        <v>49</v>
      </c>
      <c r="D2" s="7" t="str">
        <f>HYPERLINK("https://drive.google.com/file/d/1gQVabNtNzmYuguj4udcOah8Dsmu9BNIS/view?usp=drivesdk","COCO_train2014_000000154547.jpg")</f>
        <v>COCO_train2014_000000154547.jpg</v>
      </c>
      <c r="E2" s="6" t="s">
        <v>50</v>
      </c>
      <c r="F2" s="6" t="s">
        <v>51</v>
      </c>
      <c r="G2" s="6" t="s">
        <v>52</v>
      </c>
      <c r="H2" s="8" t="s">
        <v>53</v>
      </c>
      <c r="I2" s="8" t="s">
        <v>54</v>
      </c>
      <c r="J2" s="8" t="s">
        <v>54</v>
      </c>
      <c r="K2" s="8" t="s">
        <v>55</v>
      </c>
      <c r="L2" s="8" t="s">
        <v>56</v>
      </c>
    </row>
    <row r="3">
      <c r="A3" s="5">
        <v>21.0</v>
      </c>
      <c r="B3" s="6" t="s">
        <v>48</v>
      </c>
      <c r="C3" s="6" t="s">
        <v>49</v>
      </c>
      <c r="D3" s="7" t="str">
        <f>HYPERLINK("https://drive.google.com/file/d/1djqaMLipk7lYfno19tEwbiM1oG63oc1L/view?usp=drivesdk","COCO_train2014_000000415222.jpg")</f>
        <v>COCO_train2014_000000415222.jpg</v>
      </c>
      <c r="E3" s="6" t="s">
        <v>57</v>
      </c>
      <c r="F3" s="6" t="s">
        <v>58</v>
      </c>
      <c r="G3" s="6" t="s">
        <v>59</v>
      </c>
      <c r="H3" s="8" t="s">
        <v>53</v>
      </c>
      <c r="I3" s="8" t="s">
        <v>60</v>
      </c>
      <c r="J3" s="8" t="s">
        <v>54</v>
      </c>
      <c r="K3" s="8" t="s">
        <v>61</v>
      </c>
      <c r="L3" s="8" t="s">
        <v>56</v>
      </c>
    </row>
    <row r="4">
      <c r="A4" s="5">
        <v>26.0</v>
      </c>
      <c r="B4" s="6" t="s">
        <v>48</v>
      </c>
      <c r="C4" s="6" t="s">
        <v>49</v>
      </c>
      <c r="D4" s="7" t="str">
        <f>HYPERLINK("https://drive.google.com/file/d/1IwDmNCGllJe6pNS5qfy16oemegzGH4BZ/view?usp=drivesdk","COCO_val2014_000000558992.jpg")</f>
        <v>COCO_val2014_000000558992.jpg</v>
      </c>
      <c r="E4" s="6" t="s">
        <v>62</v>
      </c>
      <c r="F4" s="6" t="s">
        <v>63</v>
      </c>
      <c r="G4" s="6" t="s">
        <v>52</v>
      </c>
      <c r="H4" s="8" t="s">
        <v>64</v>
      </c>
      <c r="I4" s="8" t="s">
        <v>60</v>
      </c>
      <c r="J4" s="8" t="s">
        <v>54</v>
      </c>
      <c r="K4" s="8" t="s">
        <v>65</v>
      </c>
      <c r="L4" s="8" t="s">
        <v>56</v>
      </c>
    </row>
    <row r="5">
      <c r="A5" s="5">
        <v>37.0</v>
      </c>
      <c r="B5" s="6" t="s">
        <v>48</v>
      </c>
      <c r="C5" s="6" t="s">
        <v>49</v>
      </c>
      <c r="D5" s="7" t="str">
        <f>HYPERLINK("https://drive.google.com/file/d/13XlErpFzcTmrTEp31LIWI5f0tEY0qERl/view?usp=drivesdk","COCO_val2014_000000444263.jpg")</f>
        <v>COCO_val2014_000000444263.jpg</v>
      </c>
      <c r="E5" s="6" t="s">
        <v>66</v>
      </c>
      <c r="F5" s="6" t="s">
        <v>67</v>
      </c>
      <c r="G5" s="6" t="s">
        <v>68</v>
      </c>
      <c r="H5" s="8" t="s">
        <v>53</v>
      </c>
      <c r="I5" s="8" t="s">
        <v>60</v>
      </c>
      <c r="J5" s="8" t="s">
        <v>54</v>
      </c>
      <c r="K5" s="8" t="s">
        <v>69</v>
      </c>
      <c r="L5" s="8" t="s">
        <v>56</v>
      </c>
    </row>
    <row r="6">
      <c r="A6" s="5">
        <v>43.0</v>
      </c>
      <c r="B6" s="6" t="s">
        <v>48</v>
      </c>
      <c r="C6" s="6" t="s">
        <v>49</v>
      </c>
      <c r="D6" s="7" t="str">
        <f>HYPERLINK("https://drive.google.com/file/d/1HHVzD_79_KfhKcH70ZwxhkGbXd1jS-zx/view?usp=drivesdk","COCO_val2014_000000455974.jpg")</f>
        <v>COCO_val2014_000000455974.jpg</v>
      </c>
      <c r="E6" s="6" t="s">
        <v>70</v>
      </c>
      <c r="F6" s="6" t="s">
        <v>71</v>
      </c>
      <c r="G6" s="6" t="s">
        <v>72</v>
      </c>
      <c r="H6" s="8" t="s">
        <v>64</v>
      </c>
      <c r="I6" s="8" t="s">
        <v>60</v>
      </c>
      <c r="J6" s="8" t="s">
        <v>54</v>
      </c>
      <c r="K6" s="8" t="s">
        <v>73</v>
      </c>
      <c r="L6" s="8" t="s">
        <v>56</v>
      </c>
    </row>
    <row r="7">
      <c r="A7" s="5">
        <v>51.0</v>
      </c>
      <c r="B7" s="6" t="s">
        <v>48</v>
      </c>
      <c r="C7" s="6" t="s">
        <v>49</v>
      </c>
      <c r="D7" s="7" t="str">
        <f>HYPERLINK("https://drive.google.com/file/d/1GO56z1GbibGfOMODbDVU4t0RgXISl345/view?usp=drivesdk","COCO_train2014_000000103539.jpg")</f>
        <v>COCO_train2014_000000103539.jpg</v>
      </c>
      <c r="E7" s="6" t="s">
        <v>74</v>
      </c>
      <c r="F7" s="6" t="s">
        <v>59</v>
      </c>
      <c r="G7" s="6" t="s">
        <v>75</v>
      </c>
      <c r="H7" s="8" t="s">
        <v>53</v>
      </c>
      <c r="I7" s="8" t="s">
        <v>60</v>
      </c>
      <c r="J7" s="8" t="s">
        <v>54</v>
      </c>
      <c r="K7" s="8" t="s">
        <v>76</v>
      </c>
      <c r="L7" s="8" t="s">
        <v>56</v>
      </c>
    </row>
    <row r="8">
      <c r="A8" s="5">
        <v>53.0</v>
      </c>
      <c r="B8" s="6" t="s">
        <v>48</v>
      </c>
      <c r="C8" s="6" t="s">
        <v>49</v>
      </c>
      <c r="D8" s="7" t="str">
        <f>HYPERLINK("https://drive.google.com/file/d/1Ky0mWkhky-itL3fsz11K_RxhB5nMjkXH/view?usp=drivesdk","COCO_train2014_000000044814.jpg")</f>
        <v>COCO_train2014_000000044814.jpg</v>
      </c>
      <c r="E8" s="6" t="s">
        <v>77</v>
      </c>
      <c r="F8" s="6" t="s">
        <v>78</v>
      </c>
      <c r="G8" s="6" t="s">
        <v>79</v>
      </c>
      <c r="H8" s="8" t="s">
        <v>53</v>
      </c>
      <c r="I8" s="8" t="s">
        <v>60</v>
      </c>
      <c r="J8" s="8" t="s">
        <v>54</v>
      </c>
      <c r="K8" s="8" t="s">
        <v>80</v>
      </c>
      <c r="L8" s="8" t="s">
        <v>56</v>
      </c>
    </row>
    <row r="9">
      <c r="A9" s="5">
        <v>69.0</v>
      </c>
      <c r="B9" s="6" t="s">
        <v>48</v>
      </c>
      <c r="C9" s="6" t="s">
        <v>49</v>
      </c>
      <c r="D9" s="7" t="str">
        <f>HYPERLINK("https://drive.google.com/file/d/1wH1o8hhRgmIOxBKmiBEbw_oWNqi-RJX2/view?usp=drivesdk","COCO_train2014_000000322852.jpg")</f>
        <v>COCO_train2014_000000322852.jpg</v>
      </c>
      <c r="E9" s="6" t="s">
        <v>81</v>
      </c>
      <c r="F9" s="6" t="s">
        <v>82</v>
      </c>
      <c r="G9" s="6" t="s">
        <v>83</v>
      </c>
      <c r="H9" s="8" t="s">
        <v>64</v>
      </c>
      <c r="I9" s="8" t="s">
        <v>60</v>
      </c>
      <c r="J9" s="8" t="s">
        <v>54</v>
      </c>
      <c r="K9" s="8" t="s">
        <v>84</v>
      </c>
      <c r="L9" s="8" t="s">
        <v>56</v>
      </c>
    </row>
    <row r="10">
      <c r="A10" s="5">
        <v>77.0</v>
      </c>
      <c r="B10" s="6" t="s">
        <v>48</v>
      </c>
      <c r="C10" s="6" t="s">
        <v>49</v>
      </c>
      <c r="D10" s="7" t="str">
        <f>HYPERLINK("https://drive.google.com/file/d/1vmszmYN__9DslGTMPETQqU0S6Cs-GiOM/view?usp=drivesdk","COCO_val2014_000000378605.jpg")</f>
        <v>COCO_val2014_000000378605.jpg</v>
      </c>
      <c r="E10" s="6" t="s">
        <v>85</v>
      </c>
      <c r="F10" s="6" t="s">
        <v>86</v>
      </c>
      <c r="G10" s="6" t="s">
        <v>87</v>
      </c>
      <c r="H10" s="8" t="s">
        <v>53</v>
      </c>
      <c r="I10" s="8" t="s">
        <v>60</v>
      </c>
      <c r="J10" s="8" t="s">
        <v>54</v>
      </c>
      <c r="K10" s="8" t="s">
        <v>88</v>
      </c>
      <c r="L10" s="8" t="s">
        <v>56</v>
      </c>
    </row>
    <row r="11">
      <c r="A11" s="5">
        <v>83.0</v>
      </c>
      <c r="B11" s="6" t="s">
        <v>48</v>
      </c>
      <c r="C11" s="6" t="s">
        <v>49</v>
      </c>
      <c r="D11" s="7" t="str">
        <f>HYPERLINK("https://drive.google.com/file/d/1iEZ8Q_OIGNjUozU1uDqUM3qyPAcEXORU/view?usp=drivesdk","COCO_val2014_000000372794.jpg")</f>
        <v>COCO_val2014_000000372794.jpg</v>
      </c>
      <c r="E11" s="6" t="s">
        <v>89</v>
      </c>
      <c r="F11" s="6" t="s">
        <v>90</v>
      </c>
      <c r="G11" s="6" t="s">
        <v>91</v>
      </c>
      <c r="H11" s="8" t="s">
        <v>64</v>
      </c>
      <c r="I11" s="8" t="s">
        <v>60</v>
      </c>
      <c r="J11" s="8" t="s">
        <v>54</v>
      </c>
      <c r="K11" s="8" t="s">
        <v>92</v>
      </c>
      <c r="L11" s="8" t="s">
        <v>56</v>
      </c>
    </row>
    <row r="12">
      <c r="A12" s="5">
        <v>103.0</v>
      </c>
      <c r="B12" s="6" t="s">
        <v>48</v>
      </c>
      <c r="C12" s="6" t="s">
        <v>93</v>
      </c>
      <c r="D12" s="7" t="str">
        <f>HYPERLINK("https://drive.google.com/file/d/1IiYvqBHFCTM3PO2uGteb40ZIrNjIiSe2/view?usp=drivesdk","3771.jpg")</f>
        <v>3771.jpg</v>
      </c>
      <c r="E12" s="6" t="s">
        <v>94</v>
      </c>
      <c r="F12" s="6" t="s">
        <v>95</v>
      </c>
      <c r="G12" s="6" t="s">
        <v>96</v>
      </c>
      <c r="H12" s="8" t="s">
        <v>97</v>
      </c>
      <c r="I12" s="8" t="s">
        <v>60</v>
      </c>
      <c r="J12" s="8" t="s">
        <v>54</v>
      </c>
      <c r="K12" s="8" t="s">
        <v>98</v>
      </c>
      <c r="L12" s="8" t="s">
        <v>56</v>
      </c>
    </row>
    <row r="13">
      <c r="A13" s="5">
        <v>105.0</v>
      </c>
      <c r="B13" s="6" t="s">
        <v>48</v>
      </c>
      <c r="C13" s="6" t="s">
        <v>93</v>
      </c>
      <c r="D13" s="7" t="str">
        <f>HYPERLINK("https://drive.google.com/file/d/1lcw6S9ZqWTvNNkBj8OPiv4g4giFCJ9mA/view?usp=drivesdk","7894.jpg")</f>
        <v>7894.jpg</v>
      </c>
      <c r="E13" s="6" t="s">
        <v>99</v>
      </c>
      <c r="F13" s="6" t="s">
        <v>100</v>
      </c>
      <c r="G13" s="6" t="s">
        <v>101</v>
      </c>
      <c r="H13" s="8" t="s">
        <v>97</v>
      </c>
      <c r="I13" s="8" t="s">
        <v>60</v>
      </c>
      <c r="J13" s="8" t="s">
        <v>54</v>
      </c>
      <c r="K13" s="8" t="s">
        <v>102</v>
      </c>
      <c r="L13" s="8" t="s">
        <v>56</v>
      </c>
    </row>
    <row r="14">
      <c r="A14" s="5">
        <v>114.0</v>
      </c>
      <c r="B14" s="6" t="s">
        <v>48</v>
      </c>
      <c r="C14" s="6" t="s">
        <v>93</v>
      </c>
      <c r="D14" s="7" t="str">
        <f>HYPERLINK("https://drive.google.com/file/d/1fL18P_1UWFp0FJHk0sznSvd1S_XtjcX6/view?usp=drivesdk","12133.jpg")</f>
        <v>12133.jpg</v>
      </c>
      <c r="E14" s="6" t="s">
        <v>103</v>
      </c>
      <c r="F14" s="6" t="s">
        <v>104</v>
      </c>
      <c r="G14" s="6" t="s">
        <v>105</v>
      </c>
      <c r="H14" s="8" t="s">
        <v>106</v>
      </c>
      <c r="I14" s="8" t="s">
        <v>54</v>
      </c>
      <c r="J14" s="8" t="s">
        <v>54</v>
      </c>
      <c r="K14" s="8" t="s">
        <v>107</v>
      </c>
      <c r="L14" s="8" t="s">
        <v>56</v>
      </c>
    </row>
    <row r="15">
      <c r="A15" s="5">
        <v>123.0</v>
      </c>
      <c r="B15" s="6" t="s">
        <v>48</v>
      </c>
      <c r="C15" s="6" t="s">
        <v>93</v>
      </c>
      <c r="D15" s="7" t="str">
        <f>HYPERLINK("https://drive.google.com/file/d/1tszAqDX3cXCJvwXTdcna3V183BZJldRb/view?usp=drivesdk","11430.jpg")</f>
        <v>11430.jpg</v>
      </c>
      <c r="E15" s="6" t="s">
        <v>108</v>
      </c>
      <c r="F15" s="6" t="s">
        <v>109</v>
      </c>
      <c r="G15" s="6" t="s">
        <v>110</v>
      </c>
      <c r="H15" s="8" t="s">
        <v>97</v>
      </c>
      <c r="I15" s="8" t="s">
        <v>60</v>
      </c>
      <c r="J15" s="8" t="s">
        <v>54</v>
      </c>
      <c r="K15" s="8" t="s">
        <v>111</v>
      </c>
      <c r="L15" s="8" t="s">
        <v>56</v>
      </c>
    </row>
    <row r="16">
      <c r="A16" s="5">
        <v>145.0</v>
      </c>
      <c r="B16" s="6" t="s">
        <v>48</v>
      </c>
      <c r="C16" s="6" t="s">
        <v>93</v>
      </c>
      <c r="D16" s="7" t="str">
        <f>HYPERLINK("https://drive.google.com/file/d/1zjdAywMm7djRQ5nnOm1WyiA9LBHVe7g3/view?usp=drivesdk","9047.jpg")</f>
        <v>9047.jpg</v>
      </c>
      <c r="E16" s="6" t="s">
        <v>112</v>
      </c>
      <c r="F16" s="6" t="s">
        <v>113</v>
      </c>
      <c r="G16" s="6" t="s">
        <v>114</v>
      </c>
      <c r="H16" s="8" t="s">
        <v>115</v>
      </c>
      <c r="I16" s="8" t="s">
        <v>60</v>
      </c>
      <c r="J16" s="8" t="s">
        <v>54</v>
      </c>
      <c r="K16" s="8" t="s">
        <v>116</v>
      </c>
      <c r="L16" s="8" t="s">
        <v>56</v>
      </c>
    </row>
    <row r="17">
      <c r="A17" s="5">
        <v>158.0</v>
      </c>
      <c r="B17" s="6" t="s">
        <v>48</v>
      </c>
      <c r="C17" s="6" t="s">
        <v>93</v>
      </c>
      <c r="D17" s="7" t="str">
        <f>HYPERLINK("https://drive.google.com/file/d/1TshFQB_PjUqKeyApc-IxfkPpcdJ5p68g/view?usp=drivesdk","13000.jpg")</f>
        <v>13000.jpg</v>
      </c>
      <c r="E17" s="6" t="s">
        <v>117</v>
      </c>
      <c r="F17" s="6" t="s">
        <v>118</v>
      </c>
      <c r="G17" s="6" t="s">
        <v>119</v>
      </c>
      <c r="H17" s="8" t="s">
        <v>97</v>
      </c>
      <c r="I17" s="8" t="s">
        <v>60</v>
      </c>
      <c r="J17" s="8" t="s">
        <v>54</v>
      </c>
      <c r="K17" s="8" t="s">
        <v>102</v>
      </c>
      <c r="L17" s="8" t="s">
        <v>56</v>
      </c>
    </row>
    <row r="18">
      <c r="A18" s="5">
        <v>165.0</v>
      </c>
      <c r="B18" s="6" t="s">
        <v>48</v>
      </c>
      <c r="C18" s="6" t="s">
        <v>93</v>
      </c>
      <c r="D18" s="7" t="str">
        <f>HYPERLINK("https://drive.google.com/file/d/1W0h2egdwF_05I9BfL1P_OzhkhQE3DCM-/view?usp=drivesdk","5189.jpg")</f>
        <v>5189.jpg</v>
      </c>
      <c r="E18" s="6" t="s">
        <v>120</v>
      </c>
      <c r="F18" s="6" t="s">
        <v>121</v>
      </c>
      <c r="G18" s="6" t="s">
        <v>122</v>
      </c>
      <c r="H18" s="8" t="s">
        <v>64</v>
      </c>
      <c r="I18" s="8" t="s">
        <v>60</v>
      </c>
      <c r="J18" s="8" t="s">
        <v>54</v>
      </c>
      <c r="K18" s="8" t="s">
        <v>123</v>
      </c>
      <c r="L18" s="8" t="s">
        <v>56</v>
      </c>
    </row>
    <row r="19">
      <c r="A19" s="5">
        <v>167.0</v>
      </c>
      <c r="B19" s="6" t="s">
        <v>48</v>
      </c>
      <c r="C19" s="6" t="s">
        <v>93</v>
      </c>
      <c r="D19" s="7" t="str">
        <f>HYPERLINK("https://drive.google.com/file/d/1eOB7d5TnKnmb6r1j6bNJLiMQA1-Bl9dK/view?usp=drivesdk","4569.jpg")</f>
        <v>4569.jpg</v>
      </c>
      <c r="E19" s="6" t="s">
        <v>124</v>
      </c>
      <c r="F19" s="6" t="s">
        <v>125</v>
      </c>
      <c r="G19" s="6" t="s">
        <v>126</v>
      </c>
      <c r="H19" s="8" t="s">
        <v>106</v>
      </c>
      <c r="I19" s="8" t="s">
        <v>54</v>
      </c>
      <c r="J19" s="8" t="s">
        <v>54</v>
      </c>
      <c r="K19" s="8" t="s">
        <v>127</v>
      </c>
      <c r="L19" s="8" t="s">
        <v>56</v>
      </c>
    </row>
    <row r="20">
      <c r="A20" s="5">
        <v>178.0</v>
      </c>
      <c r="B20" s="6" t="s">
        <v>48</v>
      </c>
      <c r="C20" s="6" t="s">
        <v>93</v>
      </c>
      <c r="D20" s="7" t="str">
        <f>HYPERLINK("https://drive.google.com/file/d/1CBPMmHUBB9CP087OlQVdATKHLg77CgwU/view?usp=drivesdk","14312.jpg")</f>
        <v>14312.jpg</v>
      </c>
      <c r="E20" s="6" t="s">
        <v>128</v>
      </c>
      <c r="F20" s="6" t="s">
        <v>129</v>
      </c>
      <c r="G20" s="6" t="s">
        <v>130</v>
      </c>
      <c r="H20" s="8" t="s">
        <v>131</v>
      </c>
      <c r="I20" s="8" t="s">
        <v>54</v>
      </c>
      <c r="J20" s="8" t="s">
        <v>54</v>
      </c>
      <c r="K20" s="8" t="s">
        <v>132</v>
      </c>
      <c r="L20" s="8" t="s">
        <v>56</v>
      </c>
    </row>
    <row r="21">
      <c r="A21" s="5">
        <v>182.0</v>
      </c>
      <c r="B21" s="6" t="s">
        <v>48</v>
      </c>
      <c r="C21" s="6" t="s">
        <v>93</v>
      </c>
      <c r="D21" s="7" t="str">
        <f>HYPERLINK("https://drive.google.com/file/d/1Is_c9MfgC5kwbsyYVEzJvjuzNkncjWO0/view?usp=drivesdk","7057.jpg")</f>
        <v>7057.jpg</v>
      </c>
      <c r="E21" s="6" t="s">
        <v>133</v>
      </c>
      <c r="F21" s="6" t="s">
        <v>134</v>
      </c>
      <c r="G21" s="6" t="s">
        <v>135</v>
      </c>
      <c r="H21" s="8" t="s">
        <v>97</v>
      </c>
      <c r="I21" s="8" t="s">
        <v>60</v>
      </c>
      <c r="J21" s="8" t="s">
        <v>54</v>
      </c>
      <c r="K21" s="8" t="s">
        <v>102</v>
      </c>
      <c r="L21" s="8" t="s">
        <v>56</v>
      </c>
    </row>
    <row r="22">
      <c r="A22" s="9">
        <v>11.0</v>
      </c>
      <c r="B22" s="10" t="s">
        <v>136</v>
      </c>
      <c r="C22" s="10" t="s">
        <v>49</v>
      </c>
      <c r="D22" s="11" t="str">
        <f>HYPERLINK("https://drive.google.com/file/d/1W34b07Wqayc2jknwa-F5_DifiCEWRFve/view?usp=drivesdk","COCO_train2014_000000013922.jpg")</f>
        <v>COCO_train2014_000000013922.jpg</v>
      </c>
      <c r="E22" s="10" t="s">
        <v>137</v>
      </c>
      <c r="F22" s="10" t="s">
        <v>138</v>
      </c>
      <c r="G22" s="10" t="s">
        <v>139</v>
      </c>
      <c r="H22" s="8" t="s">
        <v>53</v>
      </c>
      <c r="I22" s="8" t="s">
        <v>54</v>
      </c>
      <c r="J22" s="8" t="s">
        <v>60</v>
      </c>
      <c r="K22" s="8" t="s">
        <v>140</v>
      </c>
      <c r="L22" s="8" t="s">
        <v>56</v>
      </c>
    </row>
    <row r="23">
      <c r="A23" s="9">
        <v>22.0</v>
      </c>
      <c r="B23" s="10" t="s">
        <v>136</v>
      </c>
      <c r="C23" s="10" t="s">
        <v>49</v>
      </c>
      <c r="D23" s="11" t="str">
        <f>HYPERLINK("https://drive.google.com/file/d/1FFHsEn-w0RzINQZb4Ub4HfBiT7bG_1nc/view?usp=drivesdk","COCO_train2014_000000087598.jpg")</f>
        <v>COCO_train2014_000000087598.jpg</v>
      </c>
      <c r="E23" s="10" t="s">
        <v>141</v>
      </c>
      <c r="F23" s="10" t="s">
        <v>142</v>
      </c>
      <c r="G23" s="10" t="s">
        <v>143</v>
      </c>
      <c r="H23" s="8" t="s">
        <v>53</v>
      </c>
      <c r="I23" s="8" t="s">
        <v>60</v>
      </c>
      <c r="J23" s="8" t="s">
        <v>54</v>
      </c>
      <c r="K23" s="8" t="s">
        <v>144</v>
      </c>
      <c r="L23" s="8" t="s">
        <v>56</v>
      </c>
    </row>
    <row r="24">
      <c r="A24" s="9">
        <v>23.0</v>
      </c>
      <c r="B24" s="10" t="s">
        <v>136</v>
      </c>
      <c r="C24" s="10" t="s">
        <v>49</v>
      </c>
      <c r="D24" s="11" t="str">
        <f>HYPERLINK("https://drive.google.com/file/d/1-GiJ-9UIDD7_nebN-1vWcv5pofKIHHcL/view?usp=drivesdk","COCO_train2014_000000530040.jpg")</f>
        <v>COCO_train2014_000000530040.jpg</v>
      </c>
      <c r="E24" s="10" t="s">
        <v>145</v>
      </c>
      <c r="F24" s="10" t="s">
        <v>142</v>
      </c>
      <c r="G24" s="10" t="s">
        <v>146</v>
      </c>
      <c r="H24" s="8" t="s">
        <v>53</v>
      </c>
      <c r="I24" s="8" t="s">
        <v>60</v>
      </c>
      <c r="J24" s="8" t="s">
        <v>54</v>
      </c>
      <c r="K24" s="8" t="s">
        <v>147</v>
      </c>
      <c r="L24" s="8" t="s">
        <v>56</v>
      </c>
    </row>
    <row r="25">
      <c r="A25" s="9">
        <v>25.0</v>
      </c>
      <c r="B25" s="10" t="s">
        <v>136</v>
      </c>
      <c r="C25" s="10" t="s">
        <v>49</v>
      </c>
      <c r="D25" s="11" t="str">
        <f>HYPERLINK("https://drive.google.com/file/d/11Rs41PNwrJI3-YCUKnGWAYqD1Ae2Zjs9/view?usp=drivesdk","COCO_train2014_000000001271.jpg")</f>
        <v>COCO_train2014_000000001271.jpg</v>
      </c>
      <c r="E25" s="10" t="s">
        <v>148</v>
      </c>
      <c r="F25" s="10" t="s">
        <v>149</v>
      </c>
      <c r="G25" s="10" t="s">
        <v>150</v>
      </c>
      <c r="H25" s="8" t="s">
        <v>151</v>
      </c>
      <c r="I25" s="8" t="s">
        <v>54</v>
      </c>
      <c r="J25" s="8" t="s">
        <v>54</v>
      </c>
      <c r="K25" s="8" t="s">
        <v>152</v>
      </c>
      <c r="L25" s="8" t="s">
        <v>56</v>
      </c>
    </row>
    <row r="26">
      <c r="A26" s="9">
        <v>32.0</v>
      </c>
      <c r="B26" s="10" t="s">
        <v>136</v>
      </c>
      <c r="C26" s="10" t="s">
        <v>49</v>
      </c>
      <c r="D26" s="11" t="str">
        <f>HYPERLINK("https://drive.google.com/file/d/1-HRQqD360V9cBZKzp6bKGbW0NNcKLBfV/view?usp=drivesdk","COCO_val2014_000000342165.jpg")</f>
        <v>COCO_val2014_000000342165.jpg</v>
      </c>
      <c r="E26" s="10" t="s">
        <v>153</v>
      </c>
      <c r="F26" s="10" t="s">
        <v>154</v>
      </c>
      <c r="G26" s="10" t="s">
        <v>155</v>
      </c>
      <c r="H26" s="8" t="s">
        <v>53</v>
      </c>
      <c r="I26" s="8" t="s">
        <v>54</v>
      </c>
      <c r="J26" s="8" t="s">
        <v>54</v>
      </c>
      <c r="K26" s="8" t="s">
        <v>156</v>
      </c>
      <c r="L26" s="8" t="s">
        <v>56</v>
      </c>
    </row>
    <row r="27">
      <c r="A27" s="9">
        <v>35.0</v>
      </c>
      <c r="B27" s="10" t="s">
        <v>136</v>
      </c>
      <c r="C27" s="10" t="s">
        <v>49</v>
      </c>
      <c r="D27" s="11" t="str">
        <f>HYPERLINK("https://drive.google.com/file/d/1801SxyxCg3n2YF9vMzsUWMBkbS6rZTvu/view?usp=drivesdk","COCO_val2014_000000381682.jpg")</f>
        <v>COCO_val2014_000000381682.jpg</v>
      </c>
      <c r="E27" s="10" t="s">
        <v>157</v>
      </c>
      <c r="F27" s="10" t="s">
        <v>158</v>
      </c>
      <c r="G27" s="10" t="s">
        <v>159</v>
      </c>
      <c r="H27" s="8" t="s">
        <v>53</v>
      </c>
      <c r="I27" s="8" t="s">
        <v>60</v>
      </c>
      <c r="J27" s="8" t="s">
        <v>54</v>
      </c>
      <c r="K27" s="8" t="s">
        <v>160</v>
      </c>
      <c r="L27" s="8" t="s">
        <v>56</v>
      </c>
    </row>
    <row r="28">
      <c r="A28" s="9">
        <v>39.0</v>
      </c>
      <c r="B28" s="10" t="s">
        <v>136</v>
      </c>
      <c r="C28" s="10" t="s">
        <v>49</v>
      </c>
      <c r="D28" s="11" t="str">
        <f>HYPERLINK("https://drive.google.com/file/d/1BqiWGWIJov47ADTwusdgvKffgc2rnNmG/view?usp=drivesdk","COCO_train2014_000000074502.jpg")</f>
        <v>COCO_train2014_000000074502.jpg</v>
      </c>
      <c r="E28" s="10" t="s">
        <v>161</v>
      </c>
      <c r="F28" s="10" t="s">
        <v>162</v>
      </c>
      <c r="G28" s="10" t="s">
        <v>163</v>
      </c>
      <c r="H28" s="8" t="s">
        <v>64</v>
      </c>
      <c r="I28" s="8" t="s">
        <v>60</v>
      </c>
      <c r="J28" s="8" t="s">
        <v>54</v>
      </c>
      <c r="K28" s="8" t="s">
        <v>164</v>
      </c>
      <c r="L28" s="8" t="s">
        <v>56</v>
      </c>
    </row>
    <row r="29">
      <c r="A29" s="9">
        <v>41.0</v>
      </c>
      <c r="B29" s="10" t="s">
        <v>136</v>
      </c>
      <c r="C29" s="10" t="s">
        <v>49</v>
      </c>
      <c r="D29" s="11" t="str">
        <f>HYPERLINK("https://drive.google.com/file/d/1K7dKTW0VU50NW15wP0vpomfLEVLQR5EG/view?usp=drivesdk","COCO_train2014_000000367969.jpg")</f>
        <v>COCO_train2014_000000367969.jpg</v>
      </c>
      <c r="E29" s="10" t="s">
        <v>165</v>
      </c>
      <c r="F29" s="10" t="s">
        <v>166</v>
      </c>
      <c r="G29" s="10" t="s">
        <v>167</v>
      </c>
      <c r="H29" s="8" t="s">
        <v>53</v>
      </c>
      <c r="I29" s="8" t="s">
        <v>60</v>
      </c>
      <c r="J29" s="8" t="s">
        <v>54</v>
      </c>
      <c r="K29" s="8" t="s">
        <v>168</v>
      </c>
      <c r="L29" s="8" t="s">
        <v>56</v>
      </c>
    </row>
    <row r="30">
      <c r="A30" s="9">
        <v>44.0</v>
      </c>
      <c r="B30" s="10" t="s">
        <v>136</v>
      </c>
      <c r="C30" s="10" t="s">
        <v>49</v>
      </c>
      <c r="D30" s="11" t="str">
        <f>HYPERLINK("https://drive.google.com/file/d/1nqtObI3xJbuBMaC5qwIfHbFRaZVDZTL_/view?usp=drivesdk","COCO_val2014_000000386589.jpg")</f>
        <v>COCO_val2014_000000386589.jpg</v>
      </c>
      <c r="E30" s="10" t="s">
        <v>169</v>
      </c>
      <c r="F30" s="10" t="s">
        <v>170</v>
      </c>
      <c r="G30" s="10" t="s">
        <v>171</v>
      </c>
      <c r="H30" s="8" t="s">
        <v>53</v>
      </c>
      <c r="I30" s="8" t="s">
        <v>60</v>
      </c>
      <c r="J30" s="8" t="s">
        <v>54</v>
      </c>
      <c r="K30" s="8" t="s">
        <v>172</v>
      </c>
      <c r="L30" s="8" t="s">
        <v>56</v>
      </c>
    </row>
    <row r="31">
      <c r="A31" s="9">
        <v>45.0</v>
      </c>
      <c r="B31" s="10" t="s">
        <v>136</v>
      </c>
      <c r="C31" s="10" t="s">
        <v>49</v>
      </c>
      <c r="D31" s="11" t="str">
        <f>HYPERLINK("https://drive.google.com/file/d/1-4SYgs1pL9WvNgQG1xhbhuNapRRt6ZIh/view?usp=drivesdk","COCO_train2014_000000237550.jpg")</f>
        <v>COCO_train2014_000000237550.jpg</v>
      </c>
      <c r="E31" s="10" t="s">
        <v>173</v>
      </c>
      <c r="F31" s="10" t="s">
        <v>174</v>
      </c>
      <c r="G31" s="10" t="s">
        <v>175</v>
      </c>
      <c r="H31" s="8" t="s">
        <v>64</v>
      </c>
      <c r="I31" s="8" t="s">
        <v>60</v>
      </c>
      <c r="J31" s="8" t="s">
        <v>54</v>
      </c>
      <c r="K31" s="8" t="s">
        <v>176</v>
      </c>
      <c r="L31" s="8" t="s">
        <v>56</v>
      </c>
    </row>
    <row r="32">
      <c r="A32" s="9">
        <v>49.0</v>
      </c>
      <c r="B32" s="10" t="s">
        <v>136</v>
      </c>
      <c r="C32" s="10" t="s">
        <v>49</v>
      </c>
      <c r="D32" s="11" t="str">
        <f>HYPERLINK("https://drive.google.com/file/d/1UjiisaNEKaRml4MoYLAbcHhsVaM8dPAr/view?usp=drivesdk","COCO_val2014_000000352538.jpg")</f>
        <v>COCO_val2014_000000352538.jpg</v>
      </c>
      <c r="E32" s="10" t="s">
        <v>177</v>
      </c>
      <c r="F32" s="10" t="s">
        <v>178</v>
      </c>
      <c r="G32" s="10" t="s">
        <v>179</v>
      </c>
      <c r="H32" s="8" t="s">
        <v>53</v>
      </c>
      <c r="I32" s="8" t="s">
        <v>60</v>
      </c>
      <c r="J32" s="8" t="s">
        <v>54</v>
      </c>
      <c r="K32" s="8" t="s">
        <v>180</v>
      </c>
      <c r="L32" s="8" t="s">
        <v>56</v>
      </c>
    </row>
    <row r="33">
      <c r="A33" s="9">
        <v>50.0</v>
      </c>
      <c r="B33" s="10" t="s">
        <v>136</v>
      </c>
      <c r="C33" s="10" t="s">
        <v>49</v>
      </c>
      <c r="D33" s="11" t="str">
        <f>HYPERLINK("https://drive.google.com/file/d/1Ppq2wR8QWKx4S_MIc5sLA9G8UWtRFSmr/view?usp=drivesdk","COCO_val2014_000000572825.jpg")</f>
        <v>COCO_val2014_000000572825.jpg</v>
      </c>
      <c r="E33" s="10" t="s">
        <v>181</v>
      </c>
      <c r="F33" s="10" t="s">
        <v>182</v>
      </c>
      <c r="G33" s="10" t="s">
        <v>183</v>
      </c>
      <c r="H33" s="8" t="s">
        <v>64</v>
      </c>
      <c r="I33" s="8" t="s">
        <v>60</v>
      </c>
      <c r="J33" s="8" t="s">
        <v>54</v>
      </c>
      <c r="K33" s="8" t="s">
        <v>184</v>
      </c>
      <c r="L33" s="8" t="s">
        <v>56</v>
      </c>
    </row>
    <row r="34">
      <c r="A34" s="9">
        <v>59.0</v>
      </c>
      <c r="B34" s="10" t="s">
        <v>136</v>
      </c>
      <c r="C34" s="10" t="s">
        <v>49</v>
      </c>
      <c r="D34" s="11" t="str">
        <f>HYPERLINK("https://drive.google.com/file/d/1kN7e63zRyzcia_9MSq_Q_2ZObX3-QbxX/view?usp=drivesdk","COCO_train2014_000000434156.jpg")</f>
        <v>COCO_train2014_000000434156.jpg</v>
      </c>
      <c r="E34" s="10" t="s">
        <v>185</v>
      </c>
      <c r="F34" s="10" t="s">
        <v>186</v>
      </c>
      <c r="G34" s="10" t="s">
        <v>150</v>
      </c>
      <c r="H34" s="8" t="s">
        <v>151</v>
      </c>
      <c r="I34" s="8" t="s">
        <v>60</v>
      </c>
      <c r="J34" s="8" t="s">
        <v>54</v>
      </c>
      <c r="K34" s="8" t="s">
        <v>187</v>
      </c>
      <c r="L34" s="8" t="s">
        <v>56</v>
      </c>
    </row>
    <row r="35">
      <c r="A35" s="9">
        <v>60.0</v>
      </c>
      <c r="B35" s="10" t="s">
        <v>136</v>
      </c>
      <c r="C35" s="10" t="s">
        <v>49</v>
      </c>
      <c r="D35" s="11" t="str">
        <f>HYPERLINK("https://drive.google.com/file/d/1BtwFThcFrzFtPguy-lr10fdnl1fY1qDy/view?usp=drivesdk","COCO_val2014_000000535307.jpg")</f>
        <v>COCO_val2014_000000535307.jpg</v>
      </c>
      <c r="E35" s="10" t="s">
        <v>188</v>
      </c>
      <c r="F35" s="10" t="s">
        <v>189</v>
      </c>
      <c r="G35" s="10" t="s">
        <v>190</v>
      </c>
      <c r="H35" s="8" t="s">
        <v>64</v>
      </c>
      <c r="I35" s="8" t="s">
        <v>60</v>
      </c>
      <c r="J35" s="8" t="s">
        <v>54</v>
      </c>
      <c r="K35" s="8" t="s">
        <v>191</v>
      </c>
      <c r="L35" s="8" t="s">
        <v>56</v>
      </c>
    </row>
    <row r="36">
      <c r="A36" s="9">
        <v>64.0</v>
      </c>
      <c r="B36" s="10" t="s">
        <v>136</v>
      </c>
      <c r="C36" s="10" t="s">
        <v>49</v>
      </c>
      <c r="D36" s="11" t="str">
        <f>HYPERLINK("https://drive.google.com/file/d/1tFeBZe6OfxgV-HWUNVBydEoE5Ak_GnX8/view?usp=drivesdk","COCO_train2014_000000256539.jpg")</f>
        <v>COCO_train2014_000000256539.jpg</v>
      </c>
      <c r="E36" s="10" t="s">
        <v>141</v>
      </c>
      <c r="F36" s="10" t="s">
        <v>192</v>
      </c>
      <c r="G36" s="10" t="s">
        <v>75</v>
      </c>
      <c r="H36" s="8" t="s">
        <v>193</v>
      </c>
      <c r="I36" s="8" t="s">
        <v>60</v>
      </c>
      <c r="J36" s="8" t="s">
        <v>54</v>
      </c>
      <c r="K36" s="8" t="s">
        <v>194</v>
      </c>
      <c r="L36" s="8" t="s">
        <v>56</v>
      </c>
    </row>
    <row r="37">
      <c r="A37" s="9">
        <v>73.0</v>
      </c>
      <c r="B37" s="10" t="s">
        <v>136</v>
      </c>
      <c r="C37" s="10" t="s">
        <v>49</v>
      </c>
      <c r="D37" s="11" t="str">
        <f>HYPERLINK("https://drive.google.com/file/d/141X8ZOHsMTqpxJykAp5xiuGJqad1sWmi/view?usp=drivesdk","COCO_train2014_000000382969.jpg")</f>
        <v>COCO_train2014_000000382969.jpg</v>
      </c>
      <c r="E37" s="10" t="s">
        <v>195</v>
      </c>
      <c r="F37" s="10" t="s">
        <v>196</v>
      </c>
      <c r="G37" s="10" t="s">
        <v>197</v>
      </c>
      <c r="H37" s="8" t="s">
        <v>53</v>
      </c>
      <c r="I37" s="8" t="s">
        <v>54</v>
      </c>
      <c r="J37" s="8" t="s">
        <v>54</v>
      </c>
      <c r="K37" s="8" t="s">
        <v>198</v>
      </c>
      <c r="L37" s="8" t="s">
        <v>56</v>
      </c>
    </row>
    <row r="38">
      <c r="A38" s="9">
        <v>75.0</v>
      </c>
      <c r="B38" s="10" t="s">
        <v>136</v>
      </c>
      <c r="C38" s="10" t="s">
        <v>49</v>
      </c>
      <c r="D38" s="11" t="str">
        <f>HYPERLINK("https://drive.google.com/file/d/1uefRkoeU--8ZD1UXtA87uWaq-1xURbc6/view?usp=drivesdk","COCO_train2014_000000323264.jpg")</f>
        <v>COCO_train2014_000000323264.jpg</v>
      </c>
      <c r="E38" s="10" t="s">
        <v>199</v>
      </c>
      <c r="F38" s="10" t="s">
        <v>200</v>
      </c>
      <c r="G38" s="10" t="s">
        <v>201</v>
      </c>
      <c r="H38" s="8" t="s">
        <v>64</v>
      </c>
      <c r="I38" s="8" t="s">
        <v>60</v>
      </c>
      <c r="J38" s="8" t="s">
        <v>54</v>
      </c>
      <c r="K38" s="8" t="s">
        <v>202</v>
      </c>
      <c r="L38" s="8" t="s">
        <v>56</v>
      </c>
    </row>
    <row r="39">
      <c r="A39" s="9">
        <v>76.0</v>
      </c>
      <c r="B39" s="10" t="s">
        <v>136</v>
      </c>
      <c r="C39" s="10" t="s">
        <v>49</v>
      </c>
      <c r="D39" s="11" t="str">
        <f>HYPERLINK("https://drive.google.com/file/d/1HE0gg68houGHfDPHhpPf71ldPlqxGkht/view?usp=drivesdk","COCO_train2014_000000419610.jpg")</f>
        <v>COCO_train2014_000000419610.jpg</v>
      </c>
      <c r="E39" s="10" t="s">
        <v>203</v>
      </c>
      <c r="F39" s="10" t="s">
        <v>204</v>
      </c>
      <c r="G39" s="10" t="s">
        <v>205</v>
      </c>
      <c r="H39" s="8" t="s">
        <v>64</v>
      </c>
      <c r="I39" s="8" t="s">
        <v>60</v>
      </c>
      <c r="J39" s="8" t="s">
        <v>54</v>
      </c>
      <c r="K39" s="8" t="s">
        <v>206</v>
      </c>
      <c r="L39" s="8" t="s">
        <v>56</v>
      </c>
    </row>
    <row r="40">
      <c r="A40" s="9">
        <v>78.0</v>
      </c>
      <c r="B40" s="10" t="s">
        <v>136</v>
      </c>
      <c r="C40" s="10" t="s">
        <v>49</v>
      </c>
      <c r="D40" s="11" t="str">
        <f>HYPERLINK("https://drive.google.com/file/d/1-FKHlMIiW30NqtA68UL3hIJR-plvTDk4/view?usp=drivesdk","COCO_train2014_000000249941.jpg")</f>
        <v>COCO_train2014_000000249941.jpg</v>
      </c>
      <c r="E40" s="10" t="s">
        <v>207</v>
      </c>
      <c r="F40" s="10" t="s">
        <v>192</v>
      </c>
      <c r="G40" s="10" t="s">
        <v>58</v>
      </c>
      <c r="H40" s="8" t="s">
        <v>53</v>
      </c>
      <c r="I40" s="8" t="s">
        <v>60</v>
      </c>
      <c r="J40" s="8" t="s">
        <v>54</v>
      </c>
      <c r="K40" s="8" t="s">
        <v>208</v>
      </c>
      <c r="L40" s="8" t="s">
        <v>56</v>
      </c>
    </row>
    <row r="41">
      <c r="A41" s="9">
        <v>98.0</v>
      </c>
      <c r="B41" s="10" t="s">
        <v>136</v>
      </c>
      <c r="C41" s="10" t="s">
        <v>49</v>
      </c>
      <c r="D41" s="11" t="str">
        <f>HYPERLINK("https://drive.google.com/file/d/1_gFyqHee8lxyhlps8yMIZNi3F3WNOHz2/view?usp=drivesdk","COCO_train2014_000000235953.jpg")</f>
        <v>COCO_train2014_000000235953.jpg</v>
      </c>
      <c r="E41" s="10" t="s">
        <v>209</v>
      </c>
      <c r="F41" s="10" t="s">
        <v>162</v>
      </c>
      <c r="G41" s="10" t="s">
        <v>210</v>
      </c>
      <c r="H41" s="8" t="s">
        <v>64</v>
      </c>
      <c r="I41" s="8" t="s">
        <v>60</v>
      </c>
      <c r="J41" s="8" t="s">
        <v>54</v>
      </c>
      <c r="K41" s="8" t="s">
        <v>211</v>
      </c>
      <c r="L41" s="8" t="s">
        <v>56</v>
      </c>
    </row>
    <row r="42">
      <c r="A42" s="9">
        <v>111.0</v>
      </c>
      <c r="B42" s="10" t="s">
        <v>136</v>
      </c>
      <c r="C42" s="10" t="s">
        <v>93</v>
      </c>
      <c r="D42" s="11" t="str">
        <f>HYPERLINK("https://drive.google.com/file/d/1HPmF7rnb4urLHYwPyGlgN3ADjMR_aLF7/view?usp=drivesdk","13923.jpg")</f>
        <v>13923.jpg</v>
      </c>
      <c r="E42" s="10" t="s">
        <v>212</v>
      </c>
      <c r="F42" s="10" t="s">
        <v>213</v>
      </c>
      <c r="G42" s="10" t="s">
        <v>214</v>
      </c>
      <c r="H42" s="8" t="s">
        <v>97</v>
      </c>
      <c r="I42" s="8" t="s">
        <v>60</v>
      </c>
      <c r="J42" s="8" t="s">
        <v>54</v>
      </c>
      <c r="K42" s="8" t="s">
        <v>215</v>
      </c>
      <c r="L42" s="8" t="s">
        <v>56</v>
      </c>
    </row>
    <row r="43">
      <c r="A43" s="9">
        <v>112.0</v>
      </c>
      <c r="B43" s="10" t="s">
        <v>136</v>
      </c>
      <c r="C43" s="10" t="s">
        <v>93</v>
      </c>
      <c r="D43" s="11" t="str">
        <f>HYPERLINK("https://drive.google.com/file/d/1R4k4cX1HrZqEijIheFBIQ7bQ1xRhKu8a/view?usp=drivesdk","14783.jpg")</f>
        <v>14783.jpg</v>
      </c>
      <c r="E43" s="10" t="s">
        <v>216</v>
      </c>
      <c r="F43" s="10" t="s">
        <v>217</v>
      </c>
      <c r="G43" s="10" t="s">
        <v>218</v>
      </c>
      <c r="H43" s="8" t="s">
        <v>64</v>
      </c>
      <c r="I43" s="8" t="s">
        <v>60</v>
      </c>
      <c r="J43" s="8" t="s">
        <v>54</v>
      </c>
      <c r="K43" s="8" t="s">
        <v>219</v>
      </c>
      <c r="L43" s="8" t="s">
        <v>56</v>
      </c>
    </row>
    <row r="44">
      <c r="A44" s="9">
        <v>117.0</v>
      </c>
      <c r="B44" s="10" t="s">
        <v>136</v>
      </c>
      <c r="C44" s="10" t="s">
        <v>93</v>
      </c>
      <c r="D44" s="11" t="str">
        <f>HYPERLINK("https://drive.google.com/file/d/1HUBWL4rqbRVyPTanvD6E2rLbjF8bFupt/view?usp=drivesdk","10340.jpg")</f>
        <v>10340.jpg</v>
      </c>
      <c r="E44" s="10" t="s">
        <v>220</v>
      </c>
      <c r="F44" s="10" t="s">
        <v>221</v>
      </c>
      <c r="G44" s="10" t="s">
        <v>222</v>
      </c>
      <c r="H44" s="8" t="s">
        <v>131</v>
      </c>
      <c r="I44" s="8" t="s">
        <v>54</v>
      </c>
      <c r="J44" s="8" t="s">
        <v>54</v>
      </c>
      <c r="K44" s="8" t="s">
        <v>223</v>
      </c>
      <c r="L44" s="8" t="s">
        <v>56</v>
      </c>
    </row>
    <row r="45">
      <c r="A45" s="9">
        <v>119.0</v>
      </c>
      <c r="B45" s="10" t="s">
        <v>136</v>
      </c>
      <c r="C45" s="10" t="s">
        <v>93</v>
      </c>
      <c r="D45" s="11" t="str">
        <f>HYPERLINK("https://drive.google.com/file/d/1faTYW_ZL1zU3WwV5pI3leGpJZem4Kv8L/view?usp=drivesdk","3825.jpg")</f>
        <v>3825.jpg</v>
      </c>
      <c r="E45" s="10" t="s">
        <v>224</v>
      </c>
      <c r="F45" s="10" t="s">
        <v>225</v>
      </c>
      <c r="G45" s="10" t="s">
        <v>226</v>
      </c>
      <c r="H45" s="8" t="s">
        <v>131</v>
      </c>
      <c r="I45" s="8" t="s">
        <v>54</v>
      </c>
      <c r="J45" s="8" t="s">
        <v>54</v>
      </c>
      <c r="K45" s="8" t="s">
        <v>223</v>
      </c>
      <c r="L45" s="8" t="s">
        <v>56</v>
      </c>
    </row>
    <row r="46">
      <c r="A46" s="9">
        <v>121.0</v>
      </c>
      <c r="B46" s="10" t="s">
        <v>136</v>
      </c>
      <c r="C46" s="10" t="s">
        <v>93</v>
      </c>
      <c r="D46" s="11" t="str">
        <f>HYPERLINK("https://drive.google.com/file/d/15GkkggOYwYOU8pUQJiT_Am9G9MU9G_PJ/view?usp=drivesdk","6882.jpg")</f>
        <v>6882.jpg</v>
      </c>
      <c r="E46" s="10" t="s">
        <v>227</v>
      </c>
      <c r="F46" s="10" t="s">
        <v>228</v>
      </c>
      <c r="G46" s="10" t="s">
        <v>229</v>
      </c>
      <c r="H46" s="8" t="s">
        <v>53</v>
      </c>
      <c r="I46" s="8" t="s">
        <v>54</v>
      </c>
      <c r="J46" s="8" t="s">
        <v>54</v>
      </c>
      <c r="K46" s="8" t="s">
        <v>230</v>
      </c>
      <c r="L46" s="8" t="s">
        <v>56</v>
      </c>
    </row>
    <row r="47">
      <c r="A47" s="9">
        <v>122.0</v>
      </c>
      <c r="B47" s="10" t="s">
        <v>136</v>
      </c>
      <c r="C47" s="10" t="s">
        <v>93</v>
      </c>
      <c r="D47" s="11" t="str">
        <f>HYPERLINK("https://drive.google.com/file/d/1q9gmwle_ekvvcUdD272e0BiFx5EjvKwh/view?usp=drivesdk","7156.jpg")</f>
        <v>7156.jpg</v>
      </c>
      <c r="E47" s="10" t="s">
        <v>231</v>
      </c>
      <c r="F47" s="10" t="s">
        <v>232</v>
      </c>
      <c r="G47" s="10" t="s">
        <v>233</v>
      </c>
      <c r="H47" s="8" t="s">
        <v>131</v>
      </c>
      <c r="I47" s="8" t="s">
        <v>54</v>
      </c>
      <c r="J47" s="8" t="s">
        <v>54</v>
      </c>
      <c r="K47" s="8" t="s">
        <v>223</v>
      </c>
      <c r="L47" s="8" t="s">
        <v>56</v>
      </c>
    </row>
    <row r="48">
      <c r="A48" s="9">
        <v>124.0</v>
      </c>
      <c r="B48" s="10" t="s">
        <v>136</v>
      </c>
      <c r="C48" s="10" t="s">
        <v>93</v>
      </c>
      <c r="D48" s="11" t="str">
        <f>HYPERLINK("https://drive.google.com/file/d/16UWv5s7g8Cw14CY4K7wSgVyRQ72urqpO/view?usp=drivesdk","12925.jpg")</f>
        <v>12925.jpg</v>
      </c>
      <c r="E48" s="10" t="s">
        <v>234</v>
      </c>
      <c r="F48" s="10" t="s">
        <v>235</v>
      </c>
      <c r="G48" s="10" t="s">
        <v>236</v>
      </c>
      <c r="H48" s="8" t="s">
        <v>106</v>
      </c>
      <c r="I48" s="8" t="s">
        <v>54</v>
      </c>
      <c r="J48" s="8" t="s">
        <v>54</v>
      </c>
      <c r="K48" s="8" t="s">
        <v>237</v>
      </c>
      <c r="L48" s="8" t="s">
        <v>56</v>
      </c>
    </row>
    <row r="49">
      <c r="A49" s="9">
        <v>125.0</v>
      </c>
      <c r="B49" s="10" t="s">
        <v>136</v>
      </c>
      <c r="C49" s="10" t="s">
        <v>93</v>
      </c>
      <c r="D49" s="11" t="str">
        <f>HYPERLINK("https://drive.google.com/file/d/1ovHG2PNSIaL7HzV5yAexKW3_a3pjcKK7/view?usp=drivesdk","3792.jpg")</f>
        <v>3792.jpg</v>
      </c>
      <c r="E49" s="10" t="s">
        <v>238</v>
      </c>
      <c r="F49" s="10" t="s">
        <v>239</v>
      </c>
      <c r="G49" s="10" t="s">
        <v>240</v>
      </c>
      <c r="H49" s="8" t="s">
        <v>106</v>
      </c>
      <c r="I49" s="8" t="s">
        <v>60</v>
      </c>
      <c r="J49" s="8" t="s">
        <v>54</v>
      </c>
      <c r="K49" s="8" t="s">
        <v>241</v>
      </c>
      <c r="L49" s="8" t="s">
        <v>56</v>
      </c>
    </row>
    <row r="50">
      <c r="A50" s="9">
        <v>126.0</v>
      </c>
      <c r="B50" s="10" t="s">
        <v>136</v>
      </c>
      <c r="C50" s="10" t="s">
        <v>93</v>
      </c>
      <c r="D50" s="11" t="str">
        <f>HYPERLINK("https://drive.google.com/file/d/1oBSNqKlzZF5F0tYppv0gZPG5p00paxXu/view?usp=drivesdk","12393.jpg")</f>
        <v>12393.jpg</v>
      </c>
      <c r="E50" s="10" t="s">
        <v>242</v>
      </c>
      <c r="F50" s="10" t="s">
        <v>243</v>
      </c>
      <c r="G50" s="10" t="s">
        <v>244</v>
      </c>
      <c r="H50" s="8" t="s">
        <v>97</v>
      </c>
      <c r="I50" s="8" t="s">
        <v>60</v>
      </c>
      <c r="J50" s="8" t="s">
        <v>54</v>
      </c>
      <c r="K50" s="8" t="s">
        <v>245</v>
      </c>
      <c r="L50" s="8" t="s">
        <v>56</v>
      </c>
    </row>
    <row r="51">
      <c r="A51" s="9">
        <v>129.0</v>
      </c>
      <c r="B51" s="10" t="s">
        <v>136</v>
      </c>
      <c r="C51" s="10" t="s">
        <v>93</v>
      </c>
      <c r="D51" s="11" t="str">
        <f>HYPERLINK("https://drive.google.com/file/d/18G9DcTk__zos4jVr3E8n-m95rd5vIf63/view?usp=drivesdk","13524.jpg")</f>
        <v>13524.jpg</v>
      </c>
      <c r="E51" s="10" t="s">
        <v>246</v>
      </c>
      <c r="F51" s="10" t="s">
        <v>247</v>
      </c>
      <c r="G51" s="10" t="s">
        <v>248</v>
      </c>
      <c r="H51" s="8" t="s">
        <v>97</v>
      </c>
      <c r="I51" s="8" t="s">
        <v>60</v>
      </c>
      <c r="J51" s="8" t="s">
        <v>54</v>
      </c>
      <c r="K51" s="8" t="s">
        <v>249</v>
      </c>
      <c r="L51" s="8" t="s">
        <v>56</v>
      </c>
    </row>
    <row r="52">
      <c r="A52" s="9">
        <v>131.0</v>
      </c>
      <c r="B52" s="10" t="s">
        <v>136</v>
      </c>
      <c r="C52" s="10" t="s">
        <v>93</v>
      </c>
      <c r="D52" s="11" t="str">
        <f>HYPERLINK("https://drive.google.com/file/d/1SghZu8xpTQsWQmAFGU6SEwXS6FS62Jjs/view?usp=drivesdk","3178.jpg")</f>
        <v>3178.jpg</v>
      </c>
      <c r="E52" s="10" t="s">
        <v>250</v>
      </c>
      <c r="F52" s="10" t="s">
        <v>251</v>
      </c>
      <c r="G52" s="10" t="s">
        <v>252</v>
      </c>
      <c r="H52" s="8" t="s">
        <v>131</v>
      </c>
      <c r="I52" s="8" t="s">
        <v>54</v>
      </c>
      <c r="J52" s="8" t="s">
        <v>60</v>
      </c>
      <c r="K52" s="8" t="s">
        <v>253</v>
      </c>
      <c r="L52" s="8" t="s">
        <v>56</v>
      </c>
    </row>
    <row r="53">
      <c r="A53" s="9">
        <v>133.0</v>
      </c>
      <c r="B53" s="10" t="s">
        <v>136</v>
      </c>
      <c r="C53" s="10" t="s">
        <v>93</v>
      </c>
      <c r="D53" s="11" t="str">
        <f>HYPERLINK("https://drive.google.com/file/d/1oDOXPkZPKLz0s_kACibBUucphGZ1JjgC/view?usp=drivesdk","6932.jpg")</f>
        <v>6932.jpg</v>
      </c>
      <c r="E53" s="10" t="s">
        <v>254</v>
      </c>
      <c r="F53" s="10" t="s">
        <v>255</v>
      </c>
      <c r="G53" s="10" t="s">
        <v>256</v>
      </c>
      <c r="H53" s="8" t="s">
        <v>106</v>
      </c>
      <c r="I53" s="8" t="s">
        <v>54</v>
      </c>
      <c r="J53" s="8" t="s">
        <v>54</v>
      </c>
      <c r="K53" s="8" t="s">
        <v>257</v>
      </c>
      <c r="L53" s="8" t="s">
        <v>56</v>
      </c>
    </row>
    <row r="54">
      <c r="A54" s="9">
        <v>135.0</v>
      </c>
      <c r="B54" s="10" t="s">
        <v>136</v>
      </c>
      <c r="C54" s="10" t="s">
        <v>93</v>
      </c>
      <c r="D54" s="11" t="str">
        <f>HYPERLINK("https://drive.google.com/file/d/1j8czGDl4jOrBr-EsEZrI7KVWvbx8XxwO/view?usp=drivesdk","12761.jpg")</f>
        <v>12761.jpg</v>
      </c>
      <c r="E54" s="10" t="s">
        <v>258</v>
      </c>
      <c r="F54" s="10" t="s">
        <v>259</v>
      </c>
      <c r="G54" s="10" t="s">
        <v>260</v>
      </c>
      <c r="H54" s="8" t="s">
        <v>115</v>
      </c>
      <c r="I54" s="8" t="s">
        <v>60</v>
      </c>
      <c r="J54" s="8" t="s">
        <v>54</v>
      </c>
      <c r="K54" s="8" t="s">
        <v>261</v>
      </c>
      <c r="L54" s="8" t="s">
        <v>56</v>
      </c>
    </row>
    <row r="55">
      <c r="A55" s="9">
        <v>138.0</v>
      </c>
      <c r="B55" s="10" t="s">
        <v>136</v>
      </c>
      <c r="C55" s="10" t="s">
        <v>93</v>
      </c>
      <c r="D55" s="11" t="str">
        <f>HYPERLINK("https://drive.google.com/file/d/1-kQdHAoaSvi-AjQNAeAuGc1wC2FjPSX4/view?usp=drivesdk","1941.jpg")</f>
        <v>1941.jpg</v>
      </c>
      <c r="E55" s="10" t="s">
        <v>262</v>
      </c>
      <c r="F55" s="10" t="s">
        <v>263</v>
      </c>
      <c r="G55" s="10" t="s">
        <v>264</v>
      </c>
      <c r="H55" s="8" t="s">
        <v>131</v>
      </c>
      <c r="I55" s="8" t="s">
        <v>54</v>
      </c>
      <c r="J55" s="8" t="s">
        <v>54</v>
      </c>
      <c r="K55" s="8" t="s">
        <v>265</v>
      </c>
      <c r="L55" s="8" t="s">
        <v>56</v>
      </c>
    </row>
    <row r="56">
      <c r="A56" s="9">
        <v>143.0</v>
      </c>
      <c r="B56" s="10" t="s">
        <v>136</v>
      </c>
      <c r="C56" s="10" t="s">
        <v>93</v>
      </c>
      <c r="D56" s="11" t="str">
        <f>HYPERLINK("https://drive.google.com/file/d/1TorY993e7QGv0tKe7ly6hFTOxGs9aY2W/view?usp=drivesdk","14163.jpg")</f>
        <v>14163.jpg</v>
      </c>
      <c r="E56" s="10" t="s">
        <v>266</v>
      </c>
      <c r="F56" s="10" t="s">
        <v>267</v>
      </c>
      <c r="G56" s="10" t="s">
        <v>268</v>
      </c>
      <c r="H56" s="8" t="s">
        <v>106</v>
      </c>
      <c r="I56" s="8" t="s">
        <v>54</v>
      </c>
      <c r="J56" s="8" t="s">
        <v>54</v>
      </c>
      <c r="K56" s="8" t="s">
        <v>269</v>
      </c>
      <c r="L56" s="8" t="s">
        <v>56</v>
      </c>
    </row>
    <row r="57">
      <c r="A57" s="9">
        <v>144.0</v>
      </c>
      <c r="B57" s="10" t="s">
        <v>136</v>
      </c>
      <c r="C57" s="10" t="s">
        <v>93</v>
      </c>
      <c r="D57" s="11" t="str">
        <f>HYPERLINK("https://drive.google.com/file/d/1qVbqAJpnGNFskwWXlbpxYj7AnSsFWXP9/view?usp=drivesdk","3174.jpg")</f>
        <v>3174.jpg</v>
      </c>
      <c r="E57" s="10" t="s">
        <v>270</v>
      </c>
      <c r="F57" s="10" t="s">
        <v>271</v>
      </c>
      <c r="G57" s="10" t="s">
        <v>272</v>
      </c>
      <c r="H57" s="8" t="s">
        <v>131</v>
      </c>
      <c r="I57" s="8" t="s">
        <v>54</v>
      </c>
      <c r="J57" s="8" t="s">
        <v>60</v>
      </c>
      <c r="K57" s="8" t="s">
        <v>273</v>
      </c>
      <c r="L57" s="8" t="s">
        <v>56</v>
      </c>
    </row>
    <row r="58">
      <c r="A58" s="9">
        <v>148.0</v>
      </c>
      <c r="B58" s="10" t="s">
        <v>136</v>
      </c>
      <c r="C58" s="10" t="s">
        <v>93</v>
      </c>
      <c r="D58" s="11" t="str">
        <f>HYPERLINK("https://drive.google.com/file/d/1Ba7UB1MV9y-i_phbRC_X-8lDSp_iEk1g/view?usp=drivesdk","6834.jpg")</f>
        <v>6834.jpg</v>
      </c>
      <c r="E58" s="10" t="s">
        <v>274</v>
      </c>
      <c r="F58" s="10" t="s">
        <v>275</v>
      </c>
      <c r="G58" s="10" t="s">
        <v>276</v>
      </c>
      <c r="H58" s="8" t="s">
        <v>106</v>
      </c>
      <c r="I58" s="8" t="s">
        <v>54</v>
      </c>
      <c r="J58" s="8" t="s">
        <v>54</v>
      </c>
      <c r="K58" s="8" t="s">
        <v>277</v>
      </c>
      <c r="L58" s="8" t="s">
        <v>56</v>
      </c>
    </row>
    <row r="59">
      <c r="A59" s="9">
        <v>155.0</v>
      </c>
      <c r="B59" s="10" t="s">
        <v>136</v>
      </c>
      <c r="C59" s="10" t="s">
        <v>93</v>
      </c>
      <c r="D59" s="11" t="str">
        <f>HYPERLINK("https://drive.google.com/file/d/15soZ3KRjzu1Fo2NXeYM4iv2PnEfNKzos/view?usp=drivesdk","9401.jpg")</f>
        <v>9401.jpg</v>
      </c>
      <c r="E59" s="10" t="s">
        <v>278</v>
      </c>
      <c r="F59" s="10" t="s">
        <v>279</v>
      </c>
      <c r="G59" s="10" t="s">
        <v>280</v>
      </c>
      <c r="H59" s="8" t="s">
        <v>131</v>
      </c>
      <c r="I59" s="8" t="s">
        <v>54</v>
      </c>
      <c r="J59" s="8" t="s">
        <v>54</v>
      </c>
      <c r="K59" s="8" t="s">
        <v>281</v>
      </c>
      <c r="L59" s="8" t="s">
        <v>56</v>
      </c>
    </row>
    <row r="60">
      <c r="A60" s="9">
        <v>164.0</v>
      </c>
      <c r="B60" s="10" t="s">
        <v>136</v>
      </c>
      <c r="C60" s="10" t="s">
        <v>93</v>
      </c>
      <c r="D60" s="11" t="str">
        <f>HYPERLINK("https://drive.google.com/file/d/1GHDIJOGH4DmB5suxkGFraJVEYF-3uBEn/view?usp=drivesdk","11936.jpg")</f>
        <v>11936.jpg</v>
      </c>
      <c r="E60" s="10" t="s">
        <v>282</v>
      </c>
      <c r="F60" s="10" t="s">
        <v>283</v>
      </c>
      <c r="G60" s="10" t="s">
        <v>284</v>
      </c>
      <c r="H60" s="8" t="s">
        <v>106</v>
      </c>
      <c r="I60" s="8" t="s">
        <v>54</v>
      </c>
      <c r="J60" s="8" t="s">
        <v>54</v>
      </c>
      <c r="K60" s="8" t="s">
        <v>285</v>
      </c>
      <c r="L60" s="8" t="s">
        <v>56</v>
      </c>
    </row>
    <row r="61">
      <c r="A61" s="9">
        <v>168.0</v>
      </c>
      <c r="B61" s="10" t="s">
        <v>136</v>
      </c>
      <c r="C61" s="10" t="s">
        <v>93</v>
      </c>
      <c r="D61" s="11" t="str">
        <f>HYPERLINK("https://drive.google.com/file/d/1EvBLSlR-UXrzipYQeIn0SNs6q2K9cchQ/view?usp=drivesdk","12322.jpg")</f>
        <v>12322.jpg</v>
      </c>
      <c r="E61" s="10" t="s">
        <v>286</v>
      </c>
      <c r="F61" s="10" t="s">
        <v>287</v>
      </c>
      <c r="G61" s="10" t="s">
        <v>288</v>
      </c>
      <c r="H61" s="8" t="s">
        <v>106</v>
      </c>
      <c r="I61" s="8" t="s">
        <v>54</v>
      </c>
      <c r="J61" s="8" t="s">
        <v>54</v>
      </c>
      <c r="K61" s="8" t="s">
        <v>289</v>
      </c>
      <c r="L61" s="8" t="s">
        <v>56</v>
      </c>
    </row>
    <row r="62">
      <c r="A62" s="9">
        <v>172.0</v>
      </c>
      <c r="B62" s="10" t="s">
        <v>136</v>
      </c>
      <c r="C62" s="10" t="s">
        <v>93</v>
      </c>
      <c r="D62" s="11" t="str">
        <f>HYPERLINK("https://drive.google.com/file/d/1nmPlHalMngcClkvHXB43LB2xqaNCKRrv/view?usp=drivesdk","133.jpg")</f>
        <v>133.jpg</v>
      </c>
      <c r="E62" s="10" t="s">
        <v>290</v>
      </c>
      <c r="F62" s="10" t="s">
        <v>291</v>
      </c>
      <c r="G62" s="10" t="s">
        <v>292</v>
      </c>
      <c r="H62" s="8" t="s">
        <v>97</v>
      </c>
      <c r="I62" s="8" t="s">
        <v>60</v>
      </c>
      <c r="J62" s="8" t="s">
        <v>54</v>
      </c>
      <c r="K62" s="8" t="s">
        <v>293</v>
      </c>
      <c r="L62" s="8" t="s">
        <v>56</v>
      </c>
    </row>
    <row r="63">
      <c r="A63" s="9">
        <v>192.0</v>
      </c>
      <c r="B63" s="10" t="s">
        <v>136</v>
      </c>
      <c r="C63" s="10" t="s">
        <v>93</v>
      </c>
      <c r="D63" s="11" t="str">
        <f>HYPERLINK("https://drive.google.com/file/d/1dctpww60bvuGG_ZWmy-kRkW354_9vWmg/view?usp=drivesdk","1175.jpg")</f>
        <v>1175.jpg</v>
      </c>
      <c r="E63" s="10" t="s">
        <v>294</v>
      </c>
      <c r="F63" s="10" t="s">
        <v>295</v>
      </c>
      <c r="G63" s="10" t="s">
        <v>296</v>
      </c>
      <c r="H63" s="8" t="s">
        <v>106</v>
      </c>
      <c r="I63" s="8" t="s">
        <v>54</v>
      </c>
      <c r="J63" s="8" t="s">
        <v>54</v>
      </c>
      <c r="K63" s="8" t="s">
        <v>297</v>
      </c>
      <c r="L63" s="8" t="s">
        <v>56</v>
      </c>
    </row>
    <row r="64">
      <c r="A64" s="9">
        <v>199.0</v>
      </c>
      <c r="B64" s="10" t="s">
        <v>136</v>
      </c>
      <c r="C64" s="10" t="s">
        <v>93</v>
      </c>
      <c r="D64" s="11" t="str">
        <f>HYPERLINK("https://drive.google.com/file/d/1lIJH32IQuQsCOhDzXsUiIBEHZaX7gqzV/view?usp=drivesdk","6675.jpg")</f>
        <v>6675.jpg</v>
      </c>
      <c r="E64" s="10" t="s">
        <v>298</v>
      </c>
      <c r="F64" s="10" t="s">
        <v>299</v>
      </c>
      <c r="G64" s="10" t="s">
        <v>300</v>
      </c>
      <c r="H64" s="8" t="s">
        <v>115</v>
      </c>
      <c r="I64" s="8" t="s">
        <v>54</v>
      </c>
      <c r="J64" s="8" t="s">
        <v>54</v>
      </c>
      <c r="K64" s="8" t="s">
        <v>301</v>
      </c>
      <c r="L64" s="8" t="s">
        <v>56</v>
      </c>
    </row>
  </sheetData>
  <dataValidations>
    <dataValidation type="list" allowBlank="1" showErrorMessage="1" sqref="I2:J64">
      <formula1>"Có,Không"</formula1>
    </dataValidation>
    <dataValidation type="list" allowBlank="1" showErrorMessage="1" sqref="H2:H64">
      <formula1>"Định dạng / độ dài (ý đúng),Đồng nghĩa / khác từ (ý đúng),Đọc chữ sai (OCR),Sai dấu thanh,Sai vùng / không có trong ảnh (hallucination),Code-switching (tiếng Anh),Đếm sai,Gold sai / nhiễu,Khác"</formula1>
    </dataValidation>
  </dataValidations>
  <drawing r:id="rId1"/>
</worksheet>
</file>