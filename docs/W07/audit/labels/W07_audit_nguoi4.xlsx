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ong_dan" sheetId="1" r:id="rId5"/>
    <sheet state="visible" name="error_audit" sheetId="2" r:id="rId6"/>
  </sheets>
  <definedNames/>
  <calcPr/>
</workbook>
</file>

<file path=xl/sharedStrings.xml><?xml version="1.0" encoding="utf-8"?>
<sst xmlns="http://schemas.openxmlformats.org/spreadsheetml/2006/main" count="677" uniqueCount="301">
  <si>
    <t>stt</t>
  </si>
  <si>
    <t>Hướng dẫn gán nhãn lỗi B2 — W07 error audit</t>
  </si>
  <si>
    <t>phan</t>
  </si>
  <si>
    <t>dataset</t>
  </si>
  <si>
    <t>anh</t>
  </si>
  <si>
    <t>question</t>
  </si>
  <si>
    <t>gold</t>
  </si>
  <si>
    <t>Việc cần làm</t>
  </si>
  <si>
    <t>B2</t>
  </si>
  <si>
    <t>loai_loi</t>
  </si>
  <si>
    <t>Với mỗi dòng: mở ảnh (link cột anh), đọc câu hỏi, gold và câu trả lời B2. Chọn 3 ô vàng bằng dropdown, ghi chú nếu cần, điền tên mình ở nguoi_duyet.</t>
  </si>
  <si>
    <t>b2_dung_nghia</t>
  </si>
  <si>
    <t>hallucination</t>
  </si>
  <si>
    <t>Thứ tự</t>
  </si>
  <si>
    <t>ghi_chu</t>
  </si>
  <si>
    <t>LÀM PHẦN "hieu_chinh" (20 dòng, tô xanh) TRƯỚC rồi báo trưởng nhóm. Sau đó làm phần "rieng".</t>
  </si>
  <si>
    <t>nguoi_duyet</t>
  </si>
  <si>
    <t>Làm độc lập</t>
  </si>
  <si>
    <t>KHÔNG hỏi nhau đáp án, không mở file của người khác. Dòng khó: chọn nhãn hợp lý nhất + ghi rõ phân vân ở ghi_chu.</t>
  </si>
  <si>
    <t>Chỉ chấm B2</t>
  </si>
  <si>
    <t>B2 là mô hình đã fine-tune (QLoRA). Mọi dòng đều là câu B2 bị chấm SAI theo Exact Match; việc của mình là tìm NGUYÊN NHÂN.</t>
  </si>
  <si>
    <t>loai_loi = 1 nguyên nhân chính</t>
  </si>
  <si>
    <t>hieu_chinh</t>
  </si>
  <si>
    <t>vivqa</t>
  </si>
  <si>
    <t xml:space="preserve">  Gold sai / nhiễu</t>
  </si>
  <si>
    <t>Chữ trong ảnh khác gold; hoặc câu hỏi không khớp ảnh; hoặc ảnh không đủ thông tin để trả lời.</t>
  </si>
  <si>
    <t xml:space="preserve">  Định dạng / độ dài (ý đúng)</t>
  </si>
  <si>
    <t>B2 đúng nội dung, chỉ thừa/thiếu chữ phụ, khác khoảng trắng/ký hiệu (vd "2km" vs "2 km", "bạch mai" vs "phòng giao dịch bạch mai").</t>
  </si>
  <si>
    <t xml:space="preserve">  Đồng nghĩa / khác từ (ý đúng)</t>
  </si>
  <si>
    <t>B2 dùng từ khác nhưng người bình thường chấp nhận (vd "phòng tắm" cho "nhà vệ sinh").</t>
  </si>
  <si>
    <t xml:space="preserve">  Đọc chữ sai (OCR)</t>
  </si>
  <si>
    <t>B2 đọc ĐÚNG CHỖ nhưng sai ký tự/chữ số (vd "0979 812 284" thay vì "815").</t>
  </si>
  <si>
    <t xml:space="preserve">  Sai dấu thanh</t>
  </si>
  <si>
    <t>Chỉ sai dấu (vd "tay" thay vì "tây").</t>
  </si>
  <si>
    <t xml:space="preserve">  Sai vùng / không có trong ảnh</t>
  </si>
  <si>
    <t>B2 đọc một dòng chữ KHÁC có thật trong ảnh, hoặc nói thứ không có trong ảnh.</t>
  </si>
  <si>
    <t xml:space="preserve">  Code-switching</t>
  </si>
  <si>
    <t>B2 trả lời bằng tiếng Anh trong khi gold tiếng Việt.</t>
  </si>
  <si>
    <t xml:space="preserve">  Đếm sai</t>
  </si>
  <si>
    <t>Câu hỏi đếm, B2 ra số khác.</t>
  </si>
  <si>
    <t xml:space="preserve">  Khác</t>
  </si>
  <si>
    <t>Không thuộc nhóm nào ở trên (ghi chú lý do).</t>
  </si>
  <si>
    <t>Có = một người đọc bình thường sẽ chấp nhận câu trả lời B2. Sai dấu mà đổi nghĩa (di sản → đi săn) = Không.</t>
  </si>
  <si>
    <t>Có = B2 nói ra thứ KHÔNG có trong ảnh. Đọc nhầm sang dòng chữ khác CÓ THẬT trong ảnh = Không.</t>
  </si>
  <si>
    <t>Quy tắc ràng buộc</t>
  </si>
  <si>
    <t>Hai nhãn "(ý đúng)" luôn đi với b2_dung_nghia = Có. hallucination = Có chỉ đi với "Sai vùng…" hoặc "Gold sai / nhiễu".</t>
  </si>
  <si>
    <t>Thời gian</t>
  </si>
  <si>
    <t>≈30–40 giây/dòng; ~60 dòng ≈ 35–45 phút. Chia 2 đợt cho đỡ mỏi.</t>
  </si>
  <si>
    <t>Sau khi xong</t>
  </si>
  <si>
    <t>Báo trưởng nhóm. Không cần gửi file — trưởng nhóm tự tải về.</t>
  </si>
  <si>
    <t>nơi để đồ cho trẻ mới biết đi và đeo ván trượt, mỉm cười trước ống kính ở đâu</t>
  </si>
  <si>
    <t>trượt tuyết</t>
  </si>
  <si>
    <t>đường bộ</t>
  </si>
  <si>
    <t>Gold sai / nhiễu</t>
  </si>
  <si>
    <t>Không</t>
  </si>
  <si>
    <t>hỏi để đồ ở đâu mà trả lời hành động</t>
  </si>
  <si>
    <t>Toàn</t>
  </si>
  <si>
    <t>màu của quả táo là gì</t>
  </si>
  <si>
    <t>màu cam</t>
  </si>
  <si>
    <t>màu xanh lá</t>
  </si>
  <si>
    <t>Có</t>
  </si>
  <si>
    <t>táo mà xanh còn quả cam màu cam</t>
  </si>
  <si>
    <t>những gì được lót bằng cây xanh bên cạnh băng ghế công viên</t>
  </si>
  <si>
    <t>lối đi</t>
  </si>
  <si>
    <t>Đồng nghĩa / khác từ (ý đúng)</t>
  </si>
  <si>
    <t>cả 2 nghĩa như nhau chấp nhận được</t>
  </si>
  <si>
    <t>người đàn ông trên ván trượt tuyết rơi xuống cái gì</t>
  </si>
  <si>
    <t>núi</t>
  </si>
  <si>
    <t>vách đá</t>
  </si>
  <si>
    <t>chỉ có ngã ở vách đá chứ kh ngã ở núi</t>
  </si>
  <si>
    <t>những gì được hiển thị với thức ăn bên trong</t>
  </si>
  <si>
    <t>tủ đông</t>
  </si>
  <si>
    <t>tủ đá</t>
  </si>
  <si>
    <t>tủ đá tủ đông như nhau</t>
  </si>
  <si>
    <t>màu của đĩa là gì</t>
  </si>
  <si>
    <t>màu vàng</t>
  </si>
  <si>
    <t>đĩa màu vàng</t>
  </si>
  <si>
    <t>con chó canh gác đang ngồi ở đâu và chạy đi</t>
  </si>
  <si>
    <t>ca nô</t>
  </si>
  <si>
    <t>con thuyền</t>
  </si>
  <si>
    <t>"trong ảnh là thuyền, gold ""cano"" là sai"</t>
  </si>
  <si>
    <t xml:space="preserve">
Toàn</t>
  </si>
  <si>
    <t>nhà vệ sinh đã dời đi đâu</t>
  </si>
  <si>
    <t>buồng</t>
  </si>
  <si>
    <t>hộp</t>
  </si>
  <si>
    <t>buồng với hộp có thể chấp nhận được</t>
  </si>
  <si>
    <t>cái bánh rán mờ nào trên đĩa với một tách cà phê và một chiếc hộp đựng khăn ăn cho chim cánh cụt</t>
  </si>
  <si>
    <t>sô cô la</t>
  </si>
  <si>
    <t>donut</t>
  </si>
  <si>
    <t>"trong ảnh là donut, gold""socola"" là sai"</t>
  </si>
  <si>
    <t>chuyến tàu nào ra khỏi nhà ga</t>
  </si>
  <si>
    <t>tàu</t>
  </si>
  <si>
    <t>tàu hỏa</t>
  </si>
  <si>
    <t>tàu với tàu hỏa như nhau chấp nhận được</t>
  </si>
  <si>
    <t>vitextvqa</t>
  </si>
  <si>
    <t>tuyên nguyễn là tên của cửa tiệm chuyên việc gì ?</t>
  </si>
  <si>
    <t>photocopy</t>
  </si>
  <si>
    <t>photo - coppy</t>
  </si>
  <si>
    <t>Định dạng / độ dài (ý đúng)</t>
  </si>
  <si>
    <t>thêm dấu gach ngang bị thừa</t>
  </si>
  <si>
    <t>nội dung bức hình là gì ?</t>
  </si>
  <si>
    <t>hoa kì phản đối hành vi gây hấn và khiêu khích của trung quốc</t>
  </si>
  <si>
    <t>hoa kỳ phản đối hành vi gây hấn và khiêu khích của trung quốc</t>
  </si>
  <si>
    <t>đúng</t>
  </si>
  <si>
    <t>cửa hàng bên phải tên gì ?</t>
  </si>
  <si>
    <t>organic celery</t>
  </si>
  <si>
    <t>organic</t>
  </si>
  <si>
    <t>Đọc chữ sai (OCR)</t>
  </si>
  <si>
    <t>thiếu chữ celary</t>
  </si>
  <si>
    <t>đây là nước nào ?</t>
  </si>
  <si>
    <t>nước cộng hòa xã hội chủ nghĩa việt nam</t>
  </si>
  <si>
    <t>cộng hòa xã hội chủ nghĩa việt nam</t>
  </si>
  <si>
    <t>thiếu chữ nước những tạm chấp nhận được</t>
  </si>
  <si>
    <t>chủ tiệm mắt kính là ai ?</t>
  </si>
  <si>
    <t>dr . minh tây</t>
  </si>
  <si>
    <t>dr . minh tay</t>
  </si>
  <si>
    <t>Sai dấu thanh</t>
  </si>
  <si>
    <t>tây thành tay</t>
  </si>
  <si>
    <t>quãng đường đến ubnd xã bình châu còn bao lâu ?</t>
  </si>
  <si>
    <t>2 km</t>
  </si>
  <si>
    <t>2km</t>
  </si>
  <si>
    <t>bức hình đề cập đến điều gì ?</t>
  </si>
  <si>
    <t>chợ sale sài gòn</t>
  </si>
  <si>
    <t>chợ sài gòn</t>
  </si>
  <si>
    <t>thiếu chữ sale</t>
  </si>
  <si>
    <t>số điện thoại hotline để liên lạc cho yamaguchi là gì ?</t>
  </si>
  <si>
    <t>036 456 8777 - 081 777 6986</t>
  </si>
  <si>
    <t>035 456 8777 081 777 6986</t>
  </si>
  <si>
    <t>"sai 1 số ""6"" thành số ""5"" và thiếu gạch ngang"</t>
  </si>
  <si>
    <t>trái cây ở tiệm mỹ nhàn được cung cấp như thế nào ?</t>
  </si>
  <si>
    <t>nhập khẩu</t>
  </si>
  <si>
    <t>chưa loại dụng cụ</t>
  </si>
  <si>
    <t>Sai vùng / không có trong ảnh (hallucination)</t>
  </si>
  <si>
    <t>đọc nhầm sang biển hiệu bên trái</t>
  </si>
  <si>
    <t>gian hàng này của ai ?</t>
  </si>
  <si>
    <t>tổng cục quản lý thị trường cục quản lý thị trường</t>
  </si>
  <si>
    <t>tổng cục quản lý thị trường cục quản lý thị trường tỉnh bắc ninh</t>
  </si>
  <si>
    <t>rieng</t>
  </si>
  <si>
    <t>màu của con chó là gì</t>
  </si>
  <si>
    <t>màu nâu</t>
  </si>
  <si>
    <t>màu trắng</t>
  </si>
  <si>
    <t>B2 và gold đều sai, ảnh con chó màu trắng</t>
  </si>
  <si>
    <t>người phụ nữ cầm một em bé đang ăn gì</t>
  </si>
  <si>
    <t>cà rốt</t>
  </si>
  <si>
    <t>hạt</t>
  </si>
  <si>
    <t>Khác</t>
  </si>
  <si>
    <t>B2 trả lời sai gold đúng</t>
  </si>
  <si>
    <t>người lính đang giữ một chiếc xe đạp màu xanh ở đâu</t>
  </si>
  <si>
    <t>văn phòng</t>
  </si>
  <si>
    <t>phòng</t>
  </si>
  <si>
    <t>Ca 2 cùng ý nghĩa với nhau</t>
  </si>
  <si>
    <t>cậu bé đang tập đi bóng chày ở đâu</t>
  </si>
  <si>
    <t>lồng</t>
  </si>
  <si>
    <t>chuồng</t>
  </si>
  <si>
    <t xml:space="preserve">Lồng với chuồng đồng nghĩa </t>
  </si>
  <si>
    <t>vận động viên trượt ván nhảy ra sao khi đang thực hiện một trò lừa</t>
  </si>
  <si>
    <t>lăn tròn</t>
  </si>
  <si>
    <t>ván trượt</t>
  </si>
  <si>
    <t>B2 không đúng mục tiêu câu hỏi</t>
  </si>
  <si>
    <t>màn hình hiển thị với nhiều trái cây và cỏ</t>
  </si>
  <si>
    <t>cửa sổ</t>
  </si>
  <si>
    <t>cây</t>
  </si>
  <si>
    <t>B2 trả lời sai</t>
  </si>
  <si>
    <t>người đàn ông mang một chiếc ván trượt</t>
  </si>
  <si>
    <t>cái túi</t>
  </si>
  <si>
    <t>xe ô tô</t>
  </si>
  <si>
    <t>B2 sai</t>
  </si>
  <si>
    <t>nhà đã làm gì ở phía trước một chiếc ghế dài</t>
  </si>
  <si>
    <t>quán bar</t>
  </si>
  <si>
    <t>Tủ đá nên gold quán bả là sai</t>
  </si>
  <si>
    <t>màu của con mèo là gì</t>
  </si>
  <si>
    <t>Mèo cam nhưng gold vàng là sai</t>
  </si>
  <si>
    <t>những gì đỗ trong cánh đồng bên cạnh một cái cây</t>
  </si>
  <si>
    <t>xe tải</t>
  </si>
  <si>
    <t xml:space="preserve">Ảnh là xe ô tô nên gold sai b2 đúng </t>
  </si>
  <si>
    <t>màu của áo khoác là gì</t>
  </si>
  <si>
    <t>màu đen</t>
  </si>
  <si>
    <t>màu tía</t>
  </si>
  <si>
    <t>B2 sai màu áo</t>
  </si>
  <si>
    <t>những gì di chuyển dọc theo đường đua giữa làn đường giao thông ô tô</t>
  </si>
  <si>
    <t>xe điện</t>
  </si>
  <si>
    <t xml:space="preserve">Cùng là xe nên mang ý đúng </t>
  </si>
  <si>
    <t>người đàn ông đang sử dụng nĩa nhựa và dao để phân chia bánh pho mát của mình</t>
  </si>
  <si>
    <t>quán ăn</t>
  </si>
  <si>
    <t>đĩa ăn</t>
  </si>
  <si>
    <t xml:space="preserve">Dĩa ăn trong quán ăn nên chấp nhận được </t>
  </si>
  <si>
    <t>màu của chiếc tàu là gì</t>
  </si>
  <si>
    <t>Ảnh tàu màu trắng gold và b2 đều sai</t>
  </si>
  <si>
    <t>có bao nhiêu chiếc máy bay kiểu cũ đang bay trong nhóm</t>
  </si>
  <si>
    <t>tám</t>
  </si>
  <si>
    <t>bảy</t>
  </si>
  <si>
    <t>Đếm sai</t>
  </si>
  <si>
    <t>B2 đếm thiếu 1</t>
  </si>
  <si>
    <t>chiếc giường nằm ở đâu</t>
  </si>
  <si>
    <t>phòng ngủ</t>
  </si>
  <si>
    <t>Đúng chấp nhận được</t>
  </si>
  <si>
    <t>cái gì bên cạnh một số nước và một bên có màu xanh lam và màu vàng</t>
  </si>
  <si>
    <t>xe lửa</t>
  </si>
  <si>
    <t xml:space="preserve">Tàu hỏa cùng ý nghĩa xe lửa </t>
  </si>
  <si>
    <t>dê núi có sừng thưởng thức những gì bên cạnh tuyết</t>
  </si>
  <si>
    <t>bãi cỏ</t>
  </si>
  <si>
    <t>Đúng ý nghĩa nhưng sai từ</t>
  </si>
  <si>
    <t>có bao nhiêu bông hoa cẩm chướng hồng đặt trong bình giấy</t>
  </si>
  <si>
    <t>bốn</t>
  </si>
  <si>
    <t>hai</t>
  </si>
  <si>
    <t>Có 4 bông nhưng b2 là 2 bông</t>
  </si>
  <si>
    <t>có gì đang ngồi trên một kệ trong lối vào của một ngôi nhà</t>
  </si>
  <si>
    <t>tượng đài</t>
  </si>
  <si>
    <t>bức ảnh</t>
  </si>
  <si>
    <t>Sai vùng</t>
  </si>
  <si>
    <t>trung tâm này đến từ đâu ?</t>
  </si>
  <si>
    <t>usatutoring</t>
  </si>
  <si>
    <t>usa tutoring</t>
  </si>
  <si>
    <t xml:space="preserve">Đúng nhưng b2 dư khoảng trắng </t>
  </si>
  <si>
    <t>thời gian bức ảnh này được chụp là gì ?</t>
  </si>
  <si>
    <t>xuân canh tý 2020</t>
  </si>
  <si>
    <t>2020</t>
  </si>
  <si>
    <t>Đúng nhưng kh đầy đủ</t>
  </si>
  <si>
    <t>nhà xuất bản của cuốn sách này là ai ?</t>
  </si>
  <si>
    <t>nhà xuất bản thanh hóa</t>
  </si>
  <si>
    <t>thanh hóa</t>
  </si>
  <si>
    <t>Đúng</t>
  </si>
  <si>
    <t>thiên hương là cửa hàng gì ?</t>
  </si>
  <si>
    <t>đại lý mè xửng</t>
  </si>
  <si>
    <t>như huệ</t>
  </si>
  <si>
    <t xml:space="preserve">Sai vùng </t>
  </si>
  <si>
    <t>trên áo màu xanh có chữ gì vậy ?</t>
  </si>
  <si>
    <t>đong tay tci</t>
  </si>
  <si>
    <t>dong tay tcj</t>
  </si>
  <si>
    <t xml:space="preserve">Đúng như thiếu dấu tiếng Việt </t>
  </si>
  <si>
    <t>số điện thoại của quảng cáo đại phát là bao nhiêu ?</t>
  </si>
  <si>
    <t>0935 . 790028</t>
  </si>
  <si>
    <t>0935 . 79 00 28</t>
  </si>
  <si>
    <t xml:space="preserve">Đúng </t>
  </si>
  <si>
    <t>gian hàng này được lập ra vào thời gian nào ?</t>
  </si>
  <si>
    <t>tháng 6 / 2020</t>
  </si>
  <si>
    <t>Tự bịa ra ngày tháng</t>
  </si>
  <si>
    <t>trên ái đen có chữ gì ?</t>
  </si>
  <si>
    <t>anyone</t>
  </si>
  <si>
    <t>i am not</t>
  </si>
  <si>
    <t>Đúng nhưng kh đủ cả gold lẫn b2</t>
  </si>
  <si>
    <t>giai đoạn 1 của biểu đồ bắt đầu từ ngày mấy ?</t>
  </si>
  <si>
    <t>từ 23 / 01 - 24 / 7 / 2020</t>
  </si>
  <si>
    <t>23 / 01 - 24 / 01 / 2020</t>
  </si>
  <si>
    <t>Sai tháng</t>
  </si>
  <si>
    <t>cửa hàng bên phải bán cái gì ?</t>
  </si>
  <si>
    <t>paul</t>
  </si>
  <si>
    <t>raul</t>
  </si>
  <si>
    <t xml:space="preserve">Sai tên shop </t>
  </si>
  <si>
    <t>bức hình này được lấy ở web nào ?</t>
  </si>
  <si>
    <t>www . yan . vn</t>
  </si>
  <si>
    <t>vietnamyounow . vn</t>
  </si>
  <si>
    <t>Tự bịa ra địa chỉ web</t>
  </si>
  <si>
    <t>số điện thoại của afc là gì ?</t>
  </si>
  <si>
    <t>02976 . 604 . 999 - 0901 . 111 . 789</t>
  </si>
  <si>
    <t>02976 . 604 . 399 - 0901 . 111 . 789</t>
  </si>
  <si>
    <t xml:space="preserve">Sai số sdt </t>
  </si>
  <si>
    <t>gian hàng ở chính giữa là của chương trình gì ?</t>
  </si>
  <si>
    <t>ngập tràn ưu đãi</t>
  </si>
  <si>
    <t>chuyên mua</t>
  </si>
  <si>
    <t>Tự bịa ra từ "chuyên mua"</t>
  </si>
  <si>
    <t>đây là cơ sở mấy ?</t>
  </si>
  <si>
    <t>cơ sở 2</t>
  </si>
  <si>
    <t>2</t>
  </si>
  <si>
    <t xml:space="preserve">B2 ok chấp nhận được </t>
  </si>
  <si>
    <t>nội dung của 4 ô màu xanh dương bên phải là gì ?</t>
  </si>
  <si>
    <t>nền kinh tế cầu thị trường cạnh tranh tài chính của khách hàng mục tiêu mùa vụ , sự kiện , lễ tết</t>
  </si>
  <si>
    <t>yếu tố ngoại tại</t>
  </si>
  <si>
    <t>Câu hỏi chưa rõ ràng nên b2 cũng đúng</t>
  </si>
  <si>
    <t>sản phẩm bơ lạt tự nhiên đang được cầm trên tay là của dòng thương hiệu nào ?</t>
  </si>
  <si>
    <t>th true butter</t>
  </si>
  <si>
    <t>true butter</t>
  </si>
  <si>
    <t>Thiếu TH nhưng vẫn chấp nhận</t>
  </si>
  <si>
    <t>các thực phẩm ở vinmart có tiêu chuẩn như thế nào ?</t>
  </si>
  <si>
    <t>tươi ngon thượng hạng</t>
  </si>
  <si>
    <t>sạch - an toàn - tiện lợi</t>
  </si>
  <si>
    <t>Ảnh sai rồi</t>
  </si>
  <si>
    <t>quán phú quý bán buffet nướng giá bao nhiêu ?</t>
  </si>
  <si>
    <t>139ks</t>
  </si>
  <si>
    <t>159k</t>
  </si>
  <si>
    <t>Sai số tiền</t>
  </si>
  <si>
    <t>số điện thoại cửa hàng là gì ?</t>
  </si>
  <si>
    <t>0939 . 999 . 405</t>
  </si>
  <si>
    <t>0938 . 999 . 405</t>
  </si>
  <si>
    <t>Sai sdt từ 9 thành 8</t>
  </si>
  <si>
    <t>những cầu thủ trong hình thuộc biên chế câu lạc bộ nào ?</t>
  </si>
  <si>
    <t>hoàng anh gia lai</t>
  </si>
  <si>
    <t>clb bóng đá hoàng anh gia lai</t>
  </si>
  <si>
    <t>tại quầy hàng của lullaby đang có chương trình gig ?</t>
  </si>
  <si>
    <t>giảm giá đến 50 % cho tất cả hàng</t>
  </si>
  <si>
    <t>giảm giá</t>
  </si>
  <si>
    <t>Đủ nghĩa giảm giá nhưng kh rõ giảm bao nhiêu do thiếu từ</t>
  </si>
  <si>
    <t xml:space="preserve">Toàn </t>
  </si>
  <si>
    <t>bức hình này được lấy ở đâu ?</t>
  </si>
  <si>
    <t>thắng nguyễn</t>
  </si>
  <si>
    <t>thường xuyên</t>
  </si>
  <si>
    <t>B2 kh có trong ảnh tự bịa ra</t>
  </si>
  <si>
    <t>cửa hàng này có tên là gì ?</t>
  </si>
  <si>
    <t>vinh đinh</t>
  </si>
  <si>
    <t>dinh dinh</t>
  </si>
  <si>
    <t xml:space="preserve">Sai tên cửa hàng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</si>
</sst>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3294B"/>
        <bgColor rgb="FF13294B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3" fontId="3" numFmtId="49" xfId="0" applyAlignment="1" applyFill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4" numFmtId="49" xfId="0" applyAlignment="1" applyFill="1" applyFont="1" applyNumberFormat="1">
      <alignment readingOrder="0" shrinkToFit="0" vertical="top" wrapText="1"/>
    </xf>
    <xf borderId="0" fillId="4" fontId="3" numFmtId="49" xfId="0" applyAlignment="1" applyFill="1" applyFont="1" applyNumberForma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  <xf borderId="0" fillId="4" fontId="3" numFmtId="49" xfId="0" applyAlignment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02.63"/>
  </cols>
  <sheetData>
    <row r="1">
      <c r="A1" s="2" t="s">
        <v>1</v>
      </c>
    </row>
    <row r="3">
      <c r="A3" s="3" t="s">
        <v>7</v>
      </c>
      <c r="B3" s="3" t="s">
        <v>10</v>
      </c>
    </row>
    <row r="4">
      <c r="A4" s="3" t="s">
        <v>13</v>
      </c>
      <c r="B4" s="3" t="s">
        <v>15</v>
      </c>
    </row>
    <row r="5">
      <c r="A5" s="3" t="s">
        <v>17</v>
      </c>
      <c r="B5" s="3" t="s">
        <v>18</v>
      </c>
    </row>
    <row r="6">
      <c r="A6" s="3" t="s">
        <v>19</v>
      </c>
      <c r="B6" s="3" t="s">
        <v>20</v>
      </c>
    </row>
    <row r="7">
      <c r="A7" s="3" t="s">
        <v>21</v>
      </c>
      <c r="B7" s="6"/>
    </row>
    <row r="8">
      <c r="A8" s="3" t="s">
        <v>24</v>
      </c>
      <c r="B8" s="3" t="s">
        <v>25</v>
      </c>
    </row>
    <row r="9">
      <c r="A9" s="3" t="s">
        <v>26</v>
      </c>
      <c r="B9" s="3" t="s">
        <v>27</v>
      </c>
    </row>
    <row r="10">
      <c r="A10" s="3" t="s">
        <v>28</v>
      </c>
      <c r="B10" s="3" t="s">
        <v>29</v>
      </c>
    </row>
    <row r="11">
      <c r="A11" s="3" t="s">
        <v>30</v>
      </c>
      <c r="B11" s="3" t="s">
        <v>31</v>
      </c>
    </row>
    <row r="12">
      <c r="A12" s="3" t="s">
        <v>32</v>
      </c>
      <c r="B12" s="3" t="s">
        <v>33</v>
      </c>
    </row>
    <row r="13">
      <c r="A13" s="3" t="s">
        <v>34</v>
      </c>
      <c r="B13" s="3" t="s">
        <v>35</v>
      </c>
    </row>
    <row r="14">
      <c r="A14" s="3" t="s">
        <v>36</v>
      </c>
      <c r="B14" s="3" t="s">
        <v>37</v>
      </c>
    </row>
    <row r="15">
      <c r="A15" s="3" t="s">
        <v>38</v>
      </c>
      <c r="B15" s="3" t="s">
        <v>39</v>
      </c>
    </row>
    <row r="16">
      <c r="A16" s="3" t="s">
        <v>40</v>
      </c>
      <c r="B16" s="3" t="s">
        <v>41</v>
      </c>
    </row>
    <row r="17">
      <c r="A17" s="3" t="s">
        <v>11</v>
      </c>
      <c r="B17" s="3" t="s">
        <v>42</v>
      </c>
    </row>
    <row r="18">
      <c r="A18" s="3" t="s">
        <v>12</v>
      </c>
      <c r="B18" s="3" t="s">
        <v>43</v>
      </c>
    </row>
    <row r="19">
      <c r="A19" s="3" t="s">
        <v>44</v>
      </c>
      <c r="B19" s="3" t="s">
        <v>45</v>
      </c>
    </row>
    <row r="20">
      <c r="A20" s="3" t="s">
        <v>46</v>
      </c>
      <c r="B20" s="3" t="s">
        <v>47</v>
      </c>
    </row>
    <row r="21">
      <c r="A21" s="3" t="s">
        <v>48</v>
      </c>
      <c r="B21" s="3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38"/>
    <col customWidth="1" min="2" max="3" width="10.75"/>
    <col customWidth="1" min="4" max="4" width="21.38"/>
    <col customWidth="1" min="5" max="5" width="41.38"/>
    <col customWidth="1" min="6" max="7" width="27.63"/>
    <col customWidth="1" min="8" max="8" width="31.38"/>
    <col customWidth="1" min="9" max="10" width="13.25"/>
    <col customWidth="1" min="11" max="11" width="30.13"/>
    <col customWidth="1" min="12" max="12" width="13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14</v>
      </c>
      <c r="L1" s="1" t="s">
        <v>16</v>
      </c>
    </row>
    <row r="2">
      <c r="A2" s="4">
        <v>12.0</v>
      </c>
      <c r="B2" s="5" t="s">
        <v>22</v>
      </c>
      <c r="C2" s="5" t="s">
        <v>23</v>
      </c>
      <c r="D2" s="7" t="str">
        <f>HYPERLINK("https://drive.google.com/file/d/1gQVabNtNzmYuguj4udcOah8Dsmu9BNIS/view?usp=drivesdk","COCO_train2014_000000154547.jpg")</f>
        <v>COCO_train2014_000000154547.jpg</v>
      </c>
      <c r="E2" s="5" t="s">
        <v>50</v>
      </c>
      <c r="F2" s="5" t="s">
        <v>51</v>
      </c>
      <c r="G2" s="5" t="s">
        <v>52</v>
      </c>
      <c r="H2" s="8" t="s">
        <v>53</v>
      </c>
      <c r="I2" s="8" t="s">
        <v>54</v>
      </c>
      <c r="J2" s="8" t="s">
        <v>54</v>
      </c>
      <c r="K2" s="8" t="s">
        <v>55</v>
      </c>
      <c r="L2" s="8" t="s">
        <v>56</v>
      </c>
    </row>
    <row r="3">
      <c r="A3" s="4">
        <v>21.0</v>
      </c>
      <c r="B3" s="5" t="s">
        <v>22</v>
      </c>
      <c r="C3" s="5" t="s">
        <v>23</v>
      </c>
      <c r="D3" s="7" t="str">
        <f>HYPERLINK("https://drive.google.com/file/d/1djqaMLipk7lYfno19tEwbiM1oG63oc1L/view?usp=drivesdk","COCO_train2014_000000415222.jpg")</f>
        <v>COCO_train2014_000000415222.jpg</v>
      </c>
      <c r="E3" s="5" t="s">
        <v>57</v>
      </c>
      <c r="F3" s="5" t="s">
        <v>58</v>
      </c>
      <c r="G3" s="5" t="s">
        <v>59</v>
      </c>
      <c r="H3" s="8" t="s">
        <v>53</v>
      </c>
      <c r="I3" s="8" t="s">
        <v>60</v>
      </c>
      <c r="J3" s="8" t="s">
        <v>54</v>
      </c>
      <c r="K3" s="8" t="s">
        <v>61</v>
      </c>
      <c r="L3" s="8" t="s">
        <v>56</v>
      </c>
    </row>
    <row r="4">
      <c r="A4" s="4">
        <v>26.0</v>
      </c>
      <c r="B4" s="5" t="s">
        <v>22</v>
      </c>
      <c r="C4" s="5" t="s">
        <v>23</v>
      </c>
      <c r="D4" s="7" t="str">
        <f>HYPERLINK("https://drive.google.com/file/d/1IwDmNCGllJe6pNS5qfy16oemegzGH4BZ/view?usp=drivesdk","COCO_val2014_000000558992.jpg")</f>
        <v>COCO_val2014_000000558992.jpg</v>
      </c>
      <c r="E4" s="5" t="s">
        <v>62</v>
      </c>
      <c r="F4" s="5" t="s">
        <v>63</v>
      </c>
      <c r="G4" s="5" t="s">
        <v>52</v>
      </c>
      <c r="H4" s="8" t="s">
        <v>64</v>
      </c>
      <c r="I4" s="8" t="s">
        <v>60</v>
      </c>
      <c r="J4" s="8" t="s">
        <v>54</v>
      </c>
      <c r="K4" s="8" t="s">
        <v>65</v>
      </c>
      <c r="L4" s="8" t="s">
        <v>56</v>
      </c>
    </row>
    <row r="5">
      <c r="A5" s="4">
        <v>37.0</v>
      </c>
      <c r="B5" s="5" t="s">
        <v>22</v>
      </c>
      <c r="C5" s="5" t="s">
        <v>23</v>
      </c>
      <c r="D5" s="7" t="str">
        <f>HYPERLINK("https://drive.google.com/file/d/13XlErpFzcTmrTEp31LIWI5f0tEY0qERl/view?usp=drivesdk","COCO_val2014_000000444263.jpg")</f>
        <v>COCO_val2014_000000444263.jpg</v>
      </c>
      <c r="E5" s="5" t="s">
        <v>66</v>
      </c>
      <c r="F5" s="5" t="s">
        <v>67</v>
      </c>
      <c r="G5" s="5" t="s">
        <v>68</v>
      </c>
      <c r="H5" s="8" t="s">
        <v>53</v>
      </c>
      <c r="I5" s="8" t="s">
        <v>60</v>
      </c>
      <c r="J5" s="8" t="s">
        <v>54</v>
      </c>
      <c r="K5" s="8" t="s">
        <v>69</v>
      </c>
      <c r="L5" s="8" t="s">
        <v>56</v>
      </c>
    </row>
    <row r="6">
      <c r="A6" s="4">
        <v>43.0</v>
      </c>
      <c r="B6" s="5" t="s">
        <v>22</v>
      </c>
      <c r="C6" s="5" t="s">
        <v>23</v>
      </c>
      <c r="D6" s="7" t="str">
        <f>HYPERLINK("https://drive.google.com/file/d/1HHVzD_79_KfhKcH70ZwxhkGbXd1jS-zx/view?usp=drivesdk","COCO_val2014_000000455974.jpg")</f>
        <v>COCO_val2014_000000455974.jpg</v>
      </c>
      <c r="E6" s="5" t="s">
        <v>70</v>
      </c>
      <c r="F6" s="5" t="s">
        <v>71</v>
      </c>
      <c r="G6" s="5" t="s">
        <v>72</v>
      </c>
      <c r="H6" s="8" t="s">
        <v>64</v>
      </c>
      <c r="I6" s="8" t="s">
        <v>60</v>
      </c>
      <c r="J6" s="8" t="s">
        <v>54</v>
      </c>
      <c r="K6" s="8" t="s">
        <v>73</v>
      </c>
      <c r="L6" s="8" t="s">
        <v>56</v>
      </c>
    </row>
    <row r="7">
      <c r="A7" s="4">
        <v>51.0</v>
      </c>
      <c r="B7" s="5" t="s">
        <v>22</v>
      </c>
      <c r="C7" s="5" t="s">
        <v>23</v>
      </c>
      <c r="D7" s="7" t="str">
        <f>HYPERLINK("https://drive.google.com/file/d/1GO56z1GbibGfOMODbDVU4t0RgXISl345/view?usp=drivesdk","COCO_train2014_000000103539.jpg")</f>
        <v>COCO_train2014_000000103539.jpg</v>
      </c>
      <c r="E7" s="5" t="s">
        <v>74</v>
      </c>
      <c r="F7" s="5" t="s">
        <v>59</v>
      </c>
      <c r="G7" s="5" t="s">
        <v>75</v>
      </c>
      <c r="H7" s="8" t="s">
        <v>53</v>
      </c>
      <c r="I7" s="8" t="s">
        <v>60</v>
      </c>
      <c r="J7" s="8" t="s">
        <v>54</v>
      </c>
      <c r="K7" s="8" t="s">
        <v>76</v>
      </c>
      <c r="L7" s="8" t="s">
        <v>56</v>
      </c>
    </row>
    <row r="8">
      <c r="A8" s="4">
        <v>53.0</v>
      </c>
      <c r="B8" s="5" t="s">
        <v>22</v>
      </c>
      <c r="C8" s="5" t="s">
        <v>23</v>
      </c>
      <c r="D8" s="7" t="str">
        <f>HYPERLINK("https://drive.google.com/file/d/1Ky0mWkhky-itL3fsz11K_RxhB5nMjkXH/view?usp=drivesdk","COCO_train2014_000000044814.jpg")</f>
        <v>COCO_train2014_000000044814.jpg</v>
      </c>
      <c r="E8" s="5" t="s">
        <v>77</v>
      </c>
      <c r="F8" s="5" t="s">
        <v>78</v>
      </c>
      <c r="G8" s="5" t="s">
        <v>79</v>
      </c>
      <c r="H8" s="8" t="s">
        <v>53</v>
      </c>
      <c r="I8" s="8" t="s">
        <v>60</v>
      </c>
      <c r="J8" s="8" t="s">
        <v>54</v>
      </c>
      <c r="K8" s="8" t="s">
        <v>80</v>
      </c>
      <c r="L8" s="8" t="s">
        <v>81</v>
      </c>
    </row>
    <row r="9">
      <c r="A9" s="4">
        <v>69.0</v>
      </c>
      <c r="B9" s="5" t="s">
        <v>22</v>
      </c>
      <c r="C9" s="5" t="s">
        <v>23</v>
      </c>
      <c r="D9" s="7" t="str">
        <f>HYPERLINK("https://drive.google.com/file/d/1wH1o8hhRgmIOxBKmiBEbw_oWNqi-RJX2/view?usp=drivesdk","COCO_train2014_000000322852.jpg")</f>
        <v>COCO_train2014_000000322852.jpg</v>
      </c>
      <c r="E9" s="5" t="s">
        <v>82</v>
      </c>
      <c r="F9" s="5" t="s">
        <v>83</v>
      </c>
      <c r="G9" s="5" t="s">
        <v>84</v>
      </c>
      <c r="H9" s="8" t="s">
        <v>64</v>
      </c>
      <c r="I9" s="8" t="s">
        <v>60</v>
      </c>
      <c r="J9" s="8" t="s">
        <v>54</v>
      </c>
      <c r="K9" s="8" t="s">
        <v>85</v>
      </c>
      <c r="L9" s="8" t="s">
        <v>56</v>
      </c>
    </row>
    <row r="10">
      <c r="A10" s="4">
        <v>77.0</v>
      </c>
      <c r="B10" s="5" t="s">
        <v>22</v>
      </c>
      <c r="C10" s="5" t="s">
        <v>23</v>
      </c>
      <c r="D10" s="7" t="str">
        <f>HYPERLINK("https://drive.google.com/file/d/1vmszmYN__9DslGTMPETQqU0S6Cs-GiOM/view?usp=drivesdk","COCO_val2014_000000378605.jpg")</f>
        <v>COCO_val2014_000000378605.jpg</v>
      </c>
      <c r="E10" s="5" t="s">
        <v>86</v>
      </c>
      <c r="F10" s="5" t="s">
        <v>87</v>
      </c>
      <c r="G10" s="5" t="s">
        <v>88</v>
      </c>
      <c r="H10" s="8" t="s">
        <v>53</v>
      </c>
      <c r="I10" s="8" t="s">
        <v>60</v>
      </c>
      <c r="J10" s="8" t="s">
        <v>54</v>
      </c>
      <c r="K10" s="8" t="s">
        <v>89</v>
      </c>
      <c r="L10" s="8" t="s">
        <v>56</v>
      </c>
    </row>
    <row r="11">
      <c r="A11" s="4">
        <v>83.0</v>
      </c>
      <c r="B11" s="5" t="s">
        <v>22</v>
      </c>
      <c r="C11" s="5" t="s">
        <v>23</v>
      </c>
      <c r="D11" s="7" t="str">
        <f>HYPERLINK("https://drive.google.com/file/d/1iEZ8Q_OIGNjUozU1uDqUM3qyPAcEXORU/view?usp=drivesdk","COCO_val2014_000000372794.jpg")</f>
        <v>COCO_val2014_000000372794.jpg</v>
      </c>
      <c r="E11" s="5" t="s">
        <v>90</v>
      </c>
      <c r="F11" s="5" t="s">
        <v>91</v>
      </c>
      <c r="G11" s="5" t="s">
        <v>92</v>
      </c>
      <c r="H11" s="8" t="s">
        <v>64</v>
      </c>
      <c r="I11" s="8" t="s">
        <v>60</v>
      </c>
      <c r="J11" s="8" t="s">
        <v>54</v>
      </c>
      <c r="K11" s="8" t="s">
        <v>93</v>
      </c>
      <c r="L11" s="8" t="s">
        <v>56</v>
      </c>
    </row>
    <row r="12">
      <c r="A12" s="4">
        <v>103.0</v>
      </c>
      <c r="B12" s="5" t="s">
        <v>22</v>
      </c>
      <c r="C12" s="5" t="s">
        <v>94</v>
      </c>
      <c r="D12" s="7" t="str">
        <f>HYPERLINK("https://drive.google.com/file/d/1IiYvqBHFCTM3PO2uGteb40ZIrNjIiSe2/view?usp=drivesdk","3771.jpg")</f>
        <v>3771.jpg</v>
      </c>
      <c r="E12" s="5" t="s">
        <v>95</v>
      </c>
      <c r="F12" s="5" t="s">
        <v>96</v>
      </c>
      <c r="G12" s="5" t="s">
        <v>97</v>
      </c>
      <c r="H12" s="8" t="s">
        <v>98</v>
      </c>
      <c r="I12" s="8" t="s">
        <v>60</v>
      </c>
      <c r="J12" s="8" t="s">
        <v>54</v>
      </c>
      <c r="K12" s="8" t="s">
        <v>99</v>
      </c>
      <c r="L12" s="8" t="s">
        <v>56</v>
      </c>
    </row>
    <row r="13">
      <c r="A13" s="4">
        <v>105.0</v>
      </c>
      <c r="B13" s="5" t="s">
        <v>22</v>
      </c>
      <c r="C13" s="5" t="s">
        <v>94</v>
      </c>
      <c r="D13" s="7" t="str">
        <f>HYPERLINK("https://drive.google.com/file/d/1lcw6S9ZqWTvNNkBj8OPiv4g4giFCJ9mA/view?usp=drivesdk","7894.jpg")</f>
        <v>7894.jpg</v>
      </c>
      <c r="E13" s="5" t="s">
        <v>100</v>
      </c>
      <c r="F13" s="5" t="s">
        <v>101</v>
      </c>
      <c r="G13" s="5" t="s">
        <v>102</v>
      </c>
      <c r="H13" s="8" t="s">
        <v>98</v>
      </c>
      <c r="I13" s="8" t="s">
        <v>60</v>
      </c>
      <c r="J13" s="8" t="s">
        <v>54</v>
      </c>
      <c r="K13" s="8" t="s">
        <v>103</v>
      </c>
      <c r="L13" s="8" t="s">
        <v>56</v>
      </c>
    </row>
    <row r="14">
      <c r="A14" s="4">
        <v>114.0</v>
      </c>
      <c r="B14" s="5" t="s">
        <v>22</v>
      </c>
      <c r="C14" s="5" t="s">
        <v>94</v>
      </c>
      <c r="D14" s="7" t="str">
        <f>HYPERLINK("https://drive.google.com/file/d/1fL18P_1UWFp0FJHk0sznSvd1S_XtjcX6/view?usp=drivesdk","12133.jpg")</f>
        <v>12133.jpg</v>
      </c>
      <c r="E14" s="5" t="s">
        <v>104</v>
      </c>
      <c r="F14" s="5" t="s">
        <v>105</v>
      </c>
      <c r="G14" s="5" t="s">
        <v>106</v>
      </c>
      <c r="H14" s="8" t="s">
        <v>107</v>
      </c>
      <c r="I14" s="8" t="s">
        <v>60</v>
      </c>
      <c r="J14" s="8" t="s">
        <v>54</v>
      </c>
      <c r="K14" s="8" t="s">
        <v>108</v>
      </c>
      <c r="L14" s="8" t="s">
        <v>56</v>
      </c>
    </row>
    <row r="15">
      <c r="A15" s="4">
        <v>123.0</v>
      </c>
      <c r="B15" s="5" t="s">
        <v>22</v>
      </c>
      <c r="C15" s="5" t="s">
        <v>94</v>
      </c>
      <c r="D15" s="7" t="str">
        <f>HYPERLINK("https://drive.google.com/file/d/1tszAqDX3cXCJvwXTdcna3V183BZJldRb/view?usp=drivesdk","11430.jpg")</f>
        <v>11430.jpg</v>
      </c>
      <c r="E15" s="5" t="s">
        <v>109</v>
      </c>
      <c r="F15" s="5" t="s">
        <v>110</v>
      </c>
      <c r="G15" s="5" t="s">
        <v>111</v>
      </c>
      <c r="H15" s="8" t="s">
        <v>98</v>
      </c>
      <c r="I15" s="8" t="s">
        <v>54</v>
      </c>
      <c r="J15" s="8" t="s">
        <v>54</v>
      </c>
      <c r="K15" s="8" t="s">
        <v>112</v>
      </c>
      <c r="L15" s="8" t="s">
        <v>56</v>
      </c>
    </row>
    <row r="16">
      <c r="A16" s="4">
        <v>145.0</v>
      </c>
      <c r="B16" s="5" t="s">
        <v>22</v>
      </c>
      <c r="C16" s="5" t="s">
        <v>94</v>
      </c>
      <c r="D16" s="7" t="str">
        <f>HYPERLINK("https://drive.google.com/file/d/1zjdAywMm7djRQ5nnOm1WyiA9LBHVe7g3/view?usp=drivesdk","9047.jpg")</f>
        <v>9047.jpg</v>
      </c>
      <c r="E16" s="5" t="s">
        <v>113</v>
      </c>
      <c r="F16" s="5" t="s">
        <v>114</v>
      </c>
      <c r="G16" s="5" t="s">
        <v>115</v>
      </c>
      <c r="H16" s="8" t="s">
        <v>116</v>
      </c>
      <c r="I16" s="8" t="s">
        <v>60</v>
      </c>
      <c r="J16" s="8" t="s">
        <v>54</v>
      </c>
      <c r="K16" s="8" t="s">
        <v>117</v>
      </c>
      <c r="L16" s="8" t="s">
        <v>56</v>
      </c>
    </row>
    <row r="17">
      <c r="A17" s="4">
        <v>158.0</v>
      </c>
      <c r="B17" s="5" t="s">
        <v>22</v>
      </c>
      <c r="C17" s="5" t="s">
        <v>94</v>
      </c>
      <c r="D17" s="7" t="str">
        <f>HYPERLINK("https://drive.google.com/file/d/1TshFQB_PjUqKeyApc-IxfkPpcdJ5p68g/view?usp=drivesdk","13000.jpg")</f>
        <v>13000.jpg</v>
      </c>
      <c r="E17" s="5" t="s">
        <v>118</v>
      </c>
      <c r="F17" s="5" t="s">
        <v>119</v>
      </c>
      <c r="G17" s="5" t="s">
        <v>120</v>
      </c>
      <c r="H17" s="8" t="s">
        <v>98</v>
      </c>
      <c r="I17" s="8" t="s">
        <v>60</v>
      </c>
      <c r="J17" s="8" t="s">
        <v>54</v>
      </c>
      <c r="K17" s="8" t="s">
        <v>103</v>
      </c>
      <c r="L17" s="8" t="s">
        <v>56</v>
      </c>
    </row>
    <row r="18">
      <c r="A18" s="4">
        <v>165.0</v>
      </c>
      <c r="B18" s="5" t="s">
        <v>22</v>
      </c>
      <c r="C18" s="5" t="s">
        <v>94</v>
      </c>
      <c r="D18" s="7" t="str">
        <f>HYPERLINK("https://drive.google.com/file/d/1W0h2egdwF_05I9BfL1P_OzhkhQE3DCM-/view?usp=drivesdk","5189.jpg")</f>
        <v>5189.jpg</v>
      </c>
      <c r="E18" s="5" t="s">
        <v>121</v>
      </c>
      <c r="F18" s="5" t="s">
        <v>122</v>
      </c>
      <c r="G18" s="5" t="s">
        <v>123</v>
      </c>
      <c r="H18" s="8" t="s">
        <v>64</v>
      </c>
      <c r="I18" s="8" t="s">
        <v>60</v>
      </c>
      <c r="J18" s="8" t="s">
        <v>54</v>
      </c>
      <c r="K18" s="8" t="s">
        <v>124</v>
      </c>
      <c r="L18" s="8" t="s">
        <v>56</v>
      </c>
    </row>
    <row r="19">
      <c r="A19" s="4">
        <v>167.0</v>
      </c>
      <c r="B19" s="5" t="s">
        <v>22</v>
      </c>
      <c r="C19" s="5" t="s">
        <v>94</v>
      </c>
      <c r="D19" s="7" t="str">
        <f>HYPERLINK("https://drive.google.com/file/d/1eOB7d5TnKnmb6r1j6bNJLiMQA1-Bl9dK/view?usp=drivesdk","4569.jpg")</f>
        <v>4569.jpg</v>
      </c>
      <c r="E19" s="5" t="s">
        <v>125</v>
      </c>
      <c r="F19" s="5" t="s">
        <v>126</v>
      </c>
      <c r="G19" s="5" t="s">
        <v>127</v>
      </c>
      <c r="H19" s="8" t="s">
        <v>107</v>
      </c>
      <c r="I19" s="8" t="s">
        <v>54</v>
      </c>
      <c r="J19" s="8" t="s">
        <v>54</v>
      </c>
      <c r="K19" s="8" t="s">
        <v>128</v>
      </c>
      <c r="L19" s="8" t="s">
        <v>56</v>
      </c>
    </row>
    <row r="20">
      <c r="A20" s="4">
        <v>178.0</v>
      </c>
      <c r="B20" s="5" t="s">
        <v>22</v>
      </c>
      <c r="C20" s="5" t="s">
        <v>94</v>
      </c>
      <c r="D20" s="7" t="str">
        <f>HYPERLINK("https://drive.google.com/file/d/1CBPMmHUBB9CP087OlQVdATKHLg77CgwU/view?usp=drivesdk","14312.jpg")</f>
        <v>14312.jpg</v>
      </c>
      <c r="E20" s="5" t="s">
        <v>129</v>
      </c>
      <c r="F20" s="5" t="s">
        <v>130</v>
      </c>
      <c r="G20" s="5" t="s">
        <v>131</v>
      </c>
      <c r="H20" s="8" t="s">
        <v>132</v>
      </c>
      <c r="I20" s="8" t="s">
        <v>54</v>
      </c>
      <c r="J20" s="8" t="s">
        <v>54</v>
      </c>
      <c r="K20" s="8" t="s">
        <v>133</v>
      </c>
      <c r="L20" s="8" t="s">
        <v>56</v>
      </c>
    </row>
    <row r="21">
      <c r="A21" s="4">
        <v>182.0</v>
      </c>
      <c r="B21" s="5" t="s">
        <v>22</v>
      </c>
      <c r="C21" s="5" t="s">
        <v>94</v>
      </c>
      <c r="D21" s="7" t="str">
        <f>HYPERLINK("https://drive.google.com/file/d/1Is_c9MfgC5kwbsyYVEzJvjuzNkncjWO0/view?usp=drivesdk","7057.jpg")</f>
        <v>7057.jpg</v>
      </c>
      <c r="E21" s="5" t="s">
        <v>134</v>
      </c>
      <c r="F21" s="5" t="s">
        <v>135</v>
      </c>
      <c r="G21" s="5" t="s">
        <v>136</v>
      </c>
      <c r="H21" s="8" t="s">
        <v>98</v>
      </c>
      <c r="I21" s="8" t="s">
        <v>60</v>
      </c>
      <c r="J21" s="8" t="s">
        <v>54</v>
      </c>
      <c r="K21" s="8" t="s">
        <v>103</v>
      </c>
      <c r="L21" s="8" t="s">
        <v>56</v>
      </c>
    </row>
    <row r="22">
      <c r="A22" s="9">
        <v>15.0</v>
      </c>
      <c r="B22" s="10" t="s">
        <v>137</v>
      </c>
      <c r="C22" s="10" t="s">
        <v>23</v>
      </c>
      <c r="D22" s="11" t="str">
        <f>HYPERLINK("https://drive.google.com/file/d/1pFkNMIoWLsSozgzjP2rq7EaqOa-_Y5KX/view?usp=drivesdk","COCO_train2014_000000301943.jpg")</f>
        <v>COCO_train2014_000000301943.jpg</v>
      </c>
      <c r="E22" s="10" t="s">
        <v>138</v>
      </c>
      <c r="F22" s="10" t="s">
        <v>139</v>
      </c>
      <c r="G22" s="10" t="s">
        <v>140</v>
      </c>
      <c r="H22" s="8" t="s">
        <v>53</v>
      </c>
      <c r="I22" s="8" t="s">
        <v>54</v>
      </c>
      <c r="J22" s="8" t="s">
        <v>54</v>
      </c>
      <c r="K22" s="8" t="s">
        <v>141</v>
      </c>
      <c r="L22" s="8" t="s">
        <v>56</v>
      </c>
    </row>
    <row r="23">
      <c r="A23" s="9">
        <v>16.0</v>
      </c>
      <c r="B23" s="10" t="s">
        <v>137</v>
      </c>
      <c r="C23" s="10" t="s">
        <v>23</v>
      </c>
      <c r="D23" s="11" t="str">
        <f>HYPERLINK("https://drive.google.com/file/d/1LgELyJ4nxJM6OzO-BrQe_frqGbX5xDJ1/view?usp=drivesdk","COCO_val2014_000000462006.jpg")</f>
        <v>COCO_val2014_000000462006.jpg</v>
      </c>
      <c r="E23" s="10" t="s">
        <v>142</v>
      </c>
      <c r="F23" s="10" t="s">
        <v>143</v>
      </c>
      <c r="G23" s="10" t="s">
        <v>144</v>
      </c>
      <c r="H23" s="8" t="s">
        <v>145</v>
      </c>
      <c r="I23" s="8" t="s">
        <v>54</v>
      </c>
      <c r="J23" s="8" t="s">
        <v>54</v>
      </c>
      <c r="K23" s="8" t="s">
        <v>146</v>
      </c>
      <c r="L23" s="8" t="s">
        <v>56</v>
      </c>
    </row>
    <row r="24">
      <c r="A24" s="9">
        <v>19.0</v>
      </c>
      <c r="B24" s="10" t="s">
        <v>137</v>
      </c>
      <c r="C24" s="10" t="s">
        <v>23</v>
      </c>
      <c r="D24" s="11" t="str">
        <f>HYPERLINK("https://drive.google.com/file/d/1bhbiUzmS-vUdUsFgWBco2oU67brePyn5/view?usp=drivesdk","COCO_train2014_000000036482.jpg")</f>
        <v>COCO_train2014_000000036482.jpg</v>
      </c>
      <c r="E24" s="10" t="s">
        <v>147</v>
      </c>
      <c r="F24" s="10" t="s">
        <v>148</v>
      </c>
      <c r="G24" s="10" t="s">
        <v>149</v>
      </c>
      <c r="H24" s="8" t="s">
        <v>64</v>
      </c>
      <c r="I24" s="8" t="s">
        <v>60</v>
      </c>
      <c r="J24" s="8" t="s">
        <v>54</v>
      </c>
      <c r="K24" s="8" t="s">
        <v>150</v>
      </c>
      <c r="L24" s="8" t="s">
        <v>56</v>
      </c>
    </row>
    <row r="25">
      <c r="A25" s="9">
        <v>30.0</v>
      </c>
      <c r="B25" s="10" t="s">
        <v>137</v>
      </c>
      <c r="C25" s="10" t="s">
        <v>23</v>
      </c>
      <c r="D25" s="11" t="str">
        <f>HYPERLINK("https://drive.google.com/file/d/1b9xgr64zpeC-17jAh99vWSnIyDmyKz1c/view?usp=drivesdk","COCO_train2014_000000371143.jpg")</f>
        <v>COCO_train2014_000000371143.jpg</v>
      </c>
      <c r="E25" s="10" t="s">
        <v>151</v>
      </c>
      <c r="F25" s="10" t="s">
        <v>152</v>
      </c>
      <c r="G25" s="10" t="s">
        <v>153</v>
      </c>
      <c r="H25" s="8" t="s">
        <v>64</v>
      </c>
      <c r="I25" s="8" t="s">
        <v>60</v>
      </c>
      <c r="J25" s="8" t="s">
        <v>54</v>
      </c>
      <c r="K25" s="8" t="s">
        <v>154</v>
      </c>
      <c r="L25" s="8" t="s">
        <v>56</v>
      </c>
    </row>
    <row r="26">
      <c r="A26" s="9">
        <v>40.0</v>
      </c>
      <c r="B26" s="10" t="s">
        <v>137</v>
      </c>
      <c r="C26" s="10" t="s">
        <v>23</v>
      </c>
      <c r="D26" s="11" t="str">
        <f>HYPERLINK("https://drive.google.com/file/d/1XLuFbRuaBkhX9ZJJflbGLWAN-VpNv5mU/view?usp=drivesdk","COCO_val2014_000000367710.jpg")</f>
        <v>COCO_val2014_000000367710.jpg</v>
      </c>
      <c r="E26" s="10" t="s">
        <v>155</v>
      </c>
      <c r="F26" s="10" t="s">
        <v>156</v>
      </c>
      <c r="G26" s="10" t="s">
        <v>157</v>
      </c>
      <c r="H26" s="8" t="s">
        <v>145</v>
      </c>
      <c r="I26" s="8" t="s">
        <v>54</v>
      </c>
      <c r="J26" s="8" t="s">
        <v>54</v>
      </c>
      <c r="K26" s="8" t="s">
        <v>158</v>
      </c>
      <c r="L26" s="8" t="s">
        <v>56</v>
      </c>
    </row>
    <row r="27">
      <c r="A27" s="9">
        <v>42.0</v>
      </c>
      <c r="B27" s="10" t="s">
        <v>137</v>
      </c>
      <c r="C27" s="10" t="s">
        <v>23</v>
      </c>
      <c r="D27" s="11" t="str">
        <f>HYPERLINK("https://drive.google.com/file/d/1OlBua3j8HI4pf5D0jRfZuuv-h_VCTvn9/view?usp=drivesdk","COCO_val2014_000000386210.jpg")</f>
        <v>COCO_val2014_000000386210.jpg</v>
      </c>
      <c r="E27" s="10" t="s">
        <v>159</v>
      </c>
      <c r="F27" s="10" t="s">
        <v>160</v>
      </c>
      <c r="G27" s="10" t="s">
        <v>161</v>
      </c>
      <c r="H27" s="8" t="s">
        <v>145</v>
      </c>
      <c r="I27" s="8" t="s">
        <v>60</v>
      </c>
      <c r="J27" s="8" t="s">
        <v>54</v>
      </c>
      <c r="K27" s="8" t="s">
        <v>162</v>
      </c>
      <c r="L27" s="8" t="s">
        <v>56</v>
      </c>
    </row>
    <row r="28">
      <c r="A28" s="9">
        <v>47.0</v>
      </c>
      <c r="B28" s="10" t="s">
        <v>137</v>
      </c>
      <c r="C28" s="10" t="s">
        <v>23</v>
      </c>
      <c r="D28" s="11" t="str">
        <f>HYPERLINK("https://drive.google.com/file/d/1YcwkzljyN5q06lau8Bnky5APrzVqNITj/view?usp=drivesdk","COCO_val2014_000000341645.jpg")</f>
        <v>COCO_val2014_000000341645.jpg</v>
      </c>
      <c r="E28" s="10" t="s">
        <v>163</v>
      </c>
      <c r="F28" s="10" t="s">
        <v>164</v>
      </c>
      <c r="G28" s="10" t="s">
        <v>165</v>
      </c>
      <c r="H28" s="8" t="s">
        <v>145</v>
      </c>
      <c r="I28" s="8" t="s">
        <v>54</v>
      </c>
      <c r="J28" s="8" t="s">
        <v>54</v>
      </c>
      <c r="K28" s="8" t="s">
        <v>166</v>
      </c>
      <c r="L28" s="8" t="s">
        <v>56</v>
      </c>
    </row>
    <row r="29">
      <c r="A29" s="9">
        <v>54.0</v>
      </c>
      <c r="B29" s="10" t="s">
        <v>137</v>
      </c>
      <c r="C29" s="10" t="s">
        <v>23</v>
      </c>
      <c r="D29" s="11" t="str">
        <f>HYPERLINK("https://drive.google.com/file/d/1co8QfAlPVwpUDqFf2X3Q3b2VUkLp0xNT/view?usp=drivesdk","COCO_val2014_000000460460.jpg")</f>
        <v>COCO_val2014_000000460460.jpg</v>
      </c>
      <c r="E29" s="10" t="s">
        <v>167</v>
      </c>
      <c r="F29" s="10" t="s">
        <v>168</v>
      </c>
      <c r="G29" s="10" t="s">
        <v>72</v>
      </c>
      <c r="H29" s="8" t="s">
        <v>53</v>
      </c>
      <c r="I29" s="8" t="s">
        <v>54</v>
      </c>
      <c r="J29" s="8" t="s">
        <v>54</v>
      </c>
      <c r="K29" s="8" t="s">
        <v>169</v>
      </c>
      <c r="L29" s="8" t="s">
        <v>56</v>
      </c>
    </row>
    <row r="30">
      <c r="A30" s="9">
        <v>61.0</v>
      </c>
      <c r="B30" s="10" t="s">
        <v>137</v>
      </c>
      <c r="C30" s="10" t="s">
        <v>23</v>
      </c>
      <c r="D30" s="11" t="str">
        <f>HYPERLINK("https://drive.google.com/file/d/13XDAodzgDF8C3VwcqA1ERT9Y9tO4Zi-H/view?usp=drivesdk","COCO_train2014_000000199268.jpg")</f>
        <v>COCO_train2014_000000199268.jpg</v>
      </c>
      <c r="E30" s="10" t="s">
        <v>170</v>
      </c>
      <c r="F30" s="10" t="s">
        <v>75</v>
      </c>
      <c r="G30" s="10" t="s">
        <v>58</v>
      </c>
      <c r="H30" s="8" t="s">
        <v>53</v>
      </c>
      <c r="I30" s="8" t="s">
        <v>60</v>
      </c>
      <c r="J30" s="8" t="s">
        <v>54</v>
      </c>
      <c r="K30" s="8" t="s">
        <v>171</v>
      </c>
      <c r="L30" s="8" t="s">
        <v>56</v>
      </c>
    </row>
    <row r="31">
      <c r="A31" s="9">
        <v>79.0</v>
      </c>
      <c r="B31" s="10" t="s">
        <v>137</v>
      </c>
      <c r="C31" s="10" t="s">
        <v>23</v>
      </c>
      <c r="D31" s="11" t="str">
        <f>HYPERLINK("https://drive.google.com/file/d/1EBMB6J4PjbMJj9p96jDIW2fvokuGOhvj/view?usp=drivesdk","COCO_val2014_000000428175.jpg")</f>
        <v>COCO_val2014_000000428175.jpg</v>
      </c>
      <c r="E31" s="10" t="s">
        <v>172</v>
      </c>
      <c r="F31" s="10" t="s">
        <v>173</v>
      </c>
      <c r="G31" s="10" t="s">
        <v>165</v>
      </c>
      <c r="H31" s="8" t="s">
        <v>53</v>
      </c>
      <c r="I31" s="8" t="s">
        <v>60</v>
      </c>
      <c r="J31" s="8" t="s">
        <v>54</v>
      </c>
      <c r="K31" s="8" t="s">
        <v>174</v>
      </c>
      <c r="L31" s="8" t="s">
        <v>56</v>
      </c>
    </row>
    <row r="32">
      <c r="A32" s="9">
        <v>80.0</v>
      </c>
      <c r="B32" s="10" t="s">
        <v>137</v>
      </c>
      <c r="C32" s="10" t="s">
        <v>23</v>
      </c>
      <c r="D32" s="11" t="str">
        <f>HYPERLINK("https://drive.google.com/file/d/1sqi5yS-Ut5CMKBGtEdSsYRadZ1UnPxI_/view?usp=drivesdk","COCO_train2014_000000335357.jpg")</f>
        <v>COCO_train2014_000000335357.jpg</v>
      </c>
      <c r="E32" s="10" t="s">
        <v>175</v>
      </c>
      <c r="F32" s="10" t="s">
        <v>176</v>
      </c>
      <c r="G32" s="10" t="s">
        <v>177</v>
      </c>
      <c r="H32" s="8" t="s">
        <v>145</v>
      </c>
      <c r="I32" s="8" t="s">
        <v>54</v>
      </c>
      <c r="J32" s="8" t="s">
        <v>54</v>
      </c>
      <c r="K32" s="8" t="s">
        <v>178</v>
      </c>
      <c r="L32" s="8" t="s">
        <v>56</v>
      </c>
    </row>
    <row r="33">
      <c r="A33" s="9">
        <v>81.0</v>
      </c>
      <c r="B33" s="10" t="s">
        <v>137</v>
      </c>
      <c r="C33" s="10" t="s">
        <v>23</v>
      </c>
      <c r="D33" s="11" t="str">
        <f>HYPERLINK("https://drive.google.com/file/d/1CyTwUSiKyjUYP-X86FA6dBUmEIdgrBPe/view?usp=drivesdk","COCO_val2014_000000415840.jpg")</f>
        <v>COCO_val2014_000000415840.jpg</v>
      </c>
      <c r="E33" s="10" t="s">
        <v>179</v>
      </c>
      <c r="F33" s="10" t="s">
        <v>165</v>
      </c>
      <c r="G33" s="10" t="s">
        <v>180</v>
      </c>
      <c r="H33" s="8" t="s">
        <v>64</v>
      </c>
      <c r="I33" s="8" t="s">
        <v>60</v>
      </c>
      <c r="J33" s="8" t="s">
        <v>54</v>
      </c>
      <c r="K33" s="8" t="s">
        <v>181</v>
      </c>
      <c r="L33" s="8" t="s">
        <v>56</v>
      </c>
    </row>
    <row r="34">
      <c r="A34" s="9">
        <v>84.0</v>
      </c>
      <c r="B34" s="10" t="s">
        <v>137</v>
      </c>
      <c r="C34" s="10" t="s">
        <v>23</v>
      </c>
      <c r="D34" s="11" t="str">
        <f>HYPERLINK("https://drive.google.com/file/d/1AD7Km1fnYZ0frpCLksJe308eZWjtZYtz/view?usp=drivesdk","COCO_train2014_000000236626.jpg")</f>
        <v>COCO_train2014_000000236626.jpg</v>
      </c>
      <c r="E34" s="10" t="s">
        <v>182</v>
      </c>
      <c r="F34" s="10" t="s">
        <v>183</v>
      </c>
      <c r="G34" s="10" t="s">
        <v>184</v>
      </c>
      <c r="H34" s="8" t="s">
        <v>64</v>
      </c>
      <c r="I34" s="8" t="s">
        <v>60</v>
      </c>
      <c r="J34" s="8" t="s">
        <v>54</v>
      </c>
      <c r="K34" s="8" t="s">
        <v>185</v>
      </c>
      <c r="L34" s="8" t="s">
        <v>56</v>
      </c>
    </row>
    <row r="35">
      <c r="A35" s="9">
        <v>85.0</v>
      </c>
      <c r="B35" s="10" t="s">
        <v>137</v>
      </c>
      <c r="C35" s="10" t="s">
        <v>23</v>
      </c>
      <c r="D35" s="11" t="str">
        <f>HYPERLINK("https://drive.google.com/file/d/13ke0YzL5u9mPC4hfMbo8RRMVk6Dpn6N2/view?usp=drivesdk","COCO_train2014_000000069654.jpg")</f>
        <v>COCO_train2014_000000069654.jpg</v>
      </c>
      <c r="E35" s="10" t="s">
        <v>186</v>
      </c>
      <c r="F35" s="10" t="s">
        <v>75</v>
      </c>
      <c r="G35" s="10" t="s">
        <v>59</v>
      </c>
      <c r="H35" s="8" t="s">
        <v>53</v>
      </c>
      <c r="I35" s="8" t="s">
        <v>54</v>
      </c>
      <c r="J35" s="8" t="s">
        <v>54</v>
      </c>
      <c r="K35" s="8" t="s">
        <v>187</v>
      </c>
      <c r="L35" s="8" t="s">
        <v>56</v>
      </c>
    </row>
    <row r="36">
      <c r="A36" s="9">
        <v>92.0</v>
      </c>
      <c r="B36" s="10" t="s">
        <v>137</v>
      </c>
      <c r="C36" s="10" t="s">
        <v>23</v>
      </c>
      <c r="D36" s="11" t="str">
        <f>HYPERLINK("https://drive.google.com/file/d/18LuGli2lr62Jcn6onZgdHDix35yqz7L2/view?usp=drivesdk","COCO_val2014_000000323418.jpg")</f>
        <v>COCO_val2014_000000323418.jpg</v>
      </c>
      <c r="E36" s="10" t="s">
        <v>188</v>
      </c>
      <c r="F36" s="10" t="s">
        <v>189</v>
      </c>
      <c r="G36" s="10" t="s">
        <v>190</v>
      </c>
      <c r="H36" s="8" t="s">
        <v>191</v>
      </c>
      <c r="I36" s="8" t="s">
        <v>60</v>
      </c>
      <c r="J36" s="8" t="s">
        <v>54</v>
      </c>
      <c r="K36" s="8" t="s">
        <v>192</v>
      </c>
      <c r="L36" s="8" t="s">
        <v>56</v>
      </c>
    </row>
    <row r="37">
      <c r="A37" s="9">
        <v>93.0</v>
      </c>
      <c r="B37" s="10" t="s">
        <v>137</v>
      </c>
      <c r="C37" s="10" t="s">
        <v>23</v>
      </c>
      <c r="D37" s="11" t="str">
        <f>HYPERLINK("https://drive.google.com/file/d/1sd4z_qjTluCrk1lFVq93wJq44k0AdEgo/view?usp=drivesdk","COCO_train2014_000000475985.jpg")</f>
        <v>COCO_train2014_000000475985.jpg</v>
      </c>
      <c r="E37" s="10" t="s">
        <v>193</v>
      </c>
      <c r="F37" s="10" t="s">
        <v>149</v>
      </c>
      <c r="G37" s="10" t="s">
        <v>194</v>
      </c>
      <c r="H37" s="8" t="s">
        <v>98</v>
      </c>
      <c r="I37" s="8" t="s">
        <v>60</v>
      </c>
      <c r="J37" s="8" t="s">
        <v>60</v>
      </c>
      <c r="K37" s="8" t="s">
        <v>195</v>
      </c>
      <c r="L37" s="8" t="s">
        <v>56</v>
      </c>
    </row>
    <row r="38">
      <c r="A38" s="9">
        <v>96.0</v>
      </c>
      <c r="B38" s="10" t="s">
        <v>137</v>
      </c>
      <c r="C38" s="10" t="s">
        <v>23</v>
      </c>
      <c r="D38" s="11" t="str">
        <f>HYPERLINK("https://drive.google.com/file/d/14moxqJ8b6-EyieXgq2XDb_wfTT-7iHCg/view?usp=drivesdk","COCO_val2014_000000472881.jpg")</f>
        <v>COCO_val2014_000000472881.jpg</v>
      </c>
      <c r="E38" s="10" t="s">
        <v>196</v>
      </c>
      <c r="F38" s="10" t="s">
        <v>197</v>
      </c>
      <c r="G38" s="10" t="s">
        <v>92</v>
      </c>
      <c r="H38" s="8" t="s">
        <v>64</v>
      </c>
      <c r="I38" s="8" t="s">
        <v>60</v>
      </c>
      <c r="J38" s="8" t="s">
        <v>54</v>
      </c>
      <c r="K38" s="8" t="s">
        <v>198</v>
      </c>
      <c r="L38" s="8" t="s">
        <v>56</v>
      </c>
    </row>
    <row r="39">
      <c r="A39" s="9">
        <v>97.0</v>
      </c>
      <c r="B39" s="10" t="s">
        <v>137</v>
      </c>
      <c r="C39" s="10" t="s">
        <v>23</v>
      </c>
      <c r="D39" s="11" t="str">
        <f>HYPERLINK("https://drive.google.com/file/d/1ijdjofWB2fRFcfXvdb3Q0RB0uvjh8JTk/view?usp=drivesdk","COCO_val2014_000000474881.jpg")</f>
        <v>COCO_val2014_000000474881.jpg</v>
      </c>
      <c r="E39" s="10" t="s">
        <v>199</v>
      </c>
      <c r="F39" s="10" t="s">
        <v>200</v>
      </c>
      <c r="G39" s="10" t="s">
        <v>161</v>
      </c>
      <c r="H39" s="8" t="s">
        <v>64</v>
      </c>
      <c r="I39" s="8" t="s">
        <v>60</v>
      </c>
      <c r="J39" s="8" t="s">
        <v>54</v>
      </c>
      <c r="K39" s="8" t="s">
        <v>201</v>
      </c>
      <c r="L39" s="8" t="s">
        <v>56</v>
      </c>
    </row>
    <row r="40">
      <c r="A40" s="9">
        <v>99.0</v>
      </c>
      <c r="B40" s="10" t="s">
        <v>137</v>
      </c>
      <c r="C40" s="10" t="s">
        <v>23</v>
      </c>
      <c r="D40" s="11" t="str">
        <f>HYPERLINK("https://drive.google.com/file/d/1fmrt8K5NtJ3E8jHweltwzsEy4fYF00iE/view?usp=drivesdk","COCO_train2014_000000467082.jpg")</f>
        <v>COCO_train2014_000000467082.jpg</v>
      </c>
      <c r="E40" s="10" t="s">
        <v>202</v>
      </c>
      <c r="F40" s="10" t="s">
        <v>203</v>
      </c>
      <c r="G40" s="10" t="s">
        <v>204</v>
      </c>
      <c r="H40" s="8" t="s">
        <v>191</v>
      </c>
      <c r="I40" s="8" t="s">
        <v>60</v>
      </c>
      <c r="J40" s="8" t="s">
        <v>54</v>
      </c>
      <c r="K40" s="8" t="s">
        <v>205</v>
      </c>
      <c r="L40" s="8" t="s">
        <v>56</v>
      </c>
    </row>
    <row r="41">
      <c r="A41" s="9">
        <v>100.0</v>
      </c>
      <c r="B41" s="10" t="s">
        <v>137</v>
      </c>
      <c r="C41" s="10" t="s">
        <v>23</v>
      </c>
      <c r="D41" s="11" t="str">
        <f>HYPERLINK("https://drive.google.com/file/d/1NP7gomuIMWB5zOCJPyut9cy3_ytAC8K3/view?usp=drivesdk","COCO_val2014_000000542325.jpg")</f>
        <v>COCO_val2014_000000542325.jpg</v>
      </c>
      <c r="E41" s="10" t="s">
        <v>206</v>
      </c>
      <c r="F41" s="10" t="s">
        <v>207</v>
      </c>
      <c r="G41" s="10" t="s">
        <v>208</v>
      </c>
      <c r="H41" s="8" t="s">
        <v>132</v>
      </c>
      <c r="I41" s="8" t="s">
        <v>54</v>
      </c>
      <c r="J41" s="8" t="s">
        <v>54</v>
      </c>
      <c r="K41" s="8" t="s">
        <v>209</v>
      </c>
      <c r="L41" s="8" t="s">
        <v>56</v>
      </c>
    </row>
    <row r="42">
      <c r="A42" s="9">
        <v>101.0</v>
      </c>
      <c r="B42" s="10" t="s">
        <v>137</v>
      </c>
      <c r="C42" s="10" t="s">
        <v>94</v>
      </c>
      <c r="D42" s="11" t="str">
        <f>HYPERLINK("https://drive.google.com/file/d/1WjXcb4GdG-0UhAp77SbUxmi8g4aRJONI/view?usp=drivesdk","13399.jpg")</f>
        <v>13399.jpg</v>
      </c>
      <c r="E42" s="10" t="s">
        <v>210</v>
      </c>
      <c r="F42" s="10" t="s">
        <v>211</v>
      </c>
      <c r="G42" s="10" t="s">
        <v>212</v>
      </c>
      <c r="H42" s="8" t="s">
        <v>98</v>
      </c>
      <c r="I42" s="8" t="s">
        <v>60</v>
      </c>
      <c r="J42" s="8" t="s">
        <v>54</v>
      </c>
      <c r="K42" s="8" t="s">
        <v>213</v>
      </c>
      <c r="L42" s="8" t="s">
        <v>56</v>
      </c>
    </row>
    <row r="43">
      <c r="A43" s="9">
        <v>102.0</v>
      </c>
      <c r="B43" s="10" t="s">
        <v>137</v>
      </c>
      <c r="C43" s="10" t="s">
        <v>94</v>
      </c>
      <c r="D43" s="11" t="str">
        <f>HYPERLINK("https://drive.google.com/file/d/1jA7juOlvDiYe5OlAyTNyEhpvClIYl43t/view?usp=drivesdk","5073.jpg")</f>
        <v>5073.jpg</v>
      </c>
      <c r="E43" s="10" t="s">
        <v>214</v>
      </c>
      <c r="F43" s="10" t="s">
        <v>215</v>
      </c>
      <c r="G43" s="10" t="s">
        <v>216</v>
      </c>
      <c r="H43" s="8" t="s">
        <v>98</v>
      </c>
      <c r="I43" s="8" t="s">
        <v>60</v>
      </c>
      <c r="J43" s="8" t="s">
        <v>54</v>
      </c>
      <c r="K43" s="8" t="s">
        <v>217</v>
      </c>
      <c r="L43" s="8" t="s">
        <v>56</v>
      </c>
    </row>
    <row r="44">
      <c r="A44" s="9">
        <v>104.0</v>
      </c>
      <c r="B44" s="10" t="s">
        <v>137</v>
      </c>
      <c r="C44" s="10" t="s">
        <v>94</v>
      </c>
      <c r="D44" s="11" t="str">
        <f>HYPERLINK("https://drive.google.com/file/d/10iZQXx_khByxshAliYzdhrSa6_xGA4XK/view?usp=drivesdk","14790.jpg")</f>
        <v>14790.jpg</v>
      </c>
      <c r="E44" s="10" t="s">
        <v>218</v>
      </c>
      <c r="F44" s="10" t="s">
        <v>219</v>
      </c>
      <c r="G44" s="10" t="s">
        <v>220</v>
      </c>
      <c r="H44" s="8" t="s">
        <v>98</v>
      </c>
      <c r="I44" s="8" t="s">
        <v>60</v>
      </c>
      <c r="J44" s="8" t="s">
        <v>54</v>
      </c>
      <c r="K44" s="8" t="s">
        <v>221</v>
      </c>
      <c r="L44" s="8" t="s">
        <v>56</v>
      </c>
    </row>
    <row r="45">
      <c r="A45" s="9">
        <v>110.0</v>
      </c>
      <c r="B45" s="10" t="s">
        <v>137</v>
      </c>
      <c r="C45" s="10" t="s">
        <v>94</v>
      </c>
      <c r="D45" s="11" t="str">
        <f>HYPERLINK("https://drive.google.com/file/d/1DIaytXqF8qnQ3Ball7GMH4_Gxjj2oWT8/view?usp=drivesdk","4928.jpg")</f>
        <v>4928.jpg</v>
      </c>
      <c r="E45" s="10" t="s">
        <v>222</v>
      </c>
      <c r="F45" s="10" t="s">
        <v>223</v>
      </c>
      <c r="G45" s="10" t="s">
        <v>224</v>
      </c>
      <c r="H45" s="8" t="s">
        <v>132</v>
      </c>
      <c r="I45" s="8" t="s">
        <v>54</v>
      </c>
      <c r="J45" s="8" t="s">
        <v>54</v>
      </c>
      <c r="K45" s="8" t="s">
        <v>225</v>
      </c>
      <c r="L45" s="8" t="s">
        <v>56</v>
      </c>
    </row>
    <row r="46">
      <c r="A46" s="9">
        <v>120.0</v>
      </c>
      <c r="B46" s="10" t="s">
        <v>137</v>
      </c>
      <c r="C46" s="10" t="s">
        <v>94</v>
      </c>
      <c r="D46" s="11" t="str">
        <f>HYPERLINK("https://drive.google.com/file/d/1Qm-9Zpwv6D9pkJSEanBumhJ0RUmiFT4s/view?usp=drivesdk","4804.jpg")</f>
        <v>4804.jpg</v>
      </c>
      <c r="E46" s="10" t="s">
        <v>226</v>
      </c>
      <c r="F46" s="10" t="s">
        <v>227</v>
      </c>
      <c r="G46" s="10" t="s">
        <v>228</v>
      </c>
      <c r="H46" s="8" t="s">
        <v>116</v>
      </c>
      <c r="I46" s="8" t="s">
        <v>60</v>
      </c>
      <c r="J46" s="8" t="s">
        <v>54</v>
      </c>
      <c r="K46" s="8" t="s">
        <v>229</v>
      </c>
      <c r="L46" s="8" t="s">
        <v>56</v>
      </c>
    </row>
    <row r="47">
      <c r="A47" s="9">
        <v>132.0</v>
      </c>
      <c r="B47" s="10" t="s">
        <v>137</v>
      </c>
      <c r="C47" s="10" t="s">
        <v>94</v>
      </c>
      <c r="D47" s="11" t="str">
        <f>HYPERLINK("https://drive.google.com/file/d/1p-EbA1k85XgCwzJCSd9O0LTmpp24tWtd/view?usp=drivesdk","1121.jpg")</f>
        <v>1121.jpg</v>
      </c>
      <c r="E47" s="10" t="s">
        <v>230</v>
      </c>
      <c r="F47" s="10" t="s">
        <v>231</v>
      </c>
      <c r="G47" s="10" t="s">
        <v>232</v>
      </c>
      <c r="H47" s="8" t="s">
        <v>98</v>
      </c>
      <c r="I47" s="8" t="s">
        <v>60</v>
      </c>
      <c r="J47" s="8" t="s">
        <v>54</v>
      </c>
      <c r="K47" s="8" t="s">
        <v>233</v>
      </c>
      <c r="L47" s="8" t="s">
        <v>56</v>
      </c>
    </row>
    <row r="48">
      <c r="A48" s="9">
        <v>142.0</v>
      </c>
      <c r="B48" s="10" t="s">
        <v>137</v>
      </c>
      <c r="C48" s="10" t="s">
        <v>94</v>
      </c>
      <c r="D48" s="11" t="str">
        <f>HYPERLINK("https://drive.google.com/file/d/1rcYMtIwQvVzXtYM0RW6JJwXckZn3YwAq/view?usp=drivesdk","5872.jpg")</f>
        <v>5872.jpg</v>
      </c>
      <c r="E48" s="10" t="s">
        <v>234</v>
      </c>
      <c r="F48" s="10" t="s">
        <v>215</v>
      </c>
      <c r="G48" s="10" t="s">
        <v>235</v>
      </c>
      <c r="H48" s="8" t="s">
        <v>132</v>
      </c>
      <c r="I48" s="8" t="s">
        <v>54</v>
      </c>
      <c r="J48" s="8" t="s">
        <v>60</v>
      </c>
      <c r="K48" s="8" t="s">
        <v>236</v>
      </c>
      <c r="L48" s="8" t="s">
        <v>56</v>
      </c>
    </row>
    <row r="49">
      <c r="A49" s="9">
        <v>147.0</v>
      </c>
      <c r="B49" s="10" t="s">
        <v>137</v>
      </c>
      <c r="C49" s="10" t="s">
        <v>94</v>
      </c>
      <c r="D49" s="11" t="str">
        <f>HYPERLINK("https://drive.google.com/file/d/1Jly9mkCCm99I2fKDA_NL3-gEMuySbTYK/view?usp=drivesdk","5798.jpg")</f>
        <v>5798.jpg</v>
      </c>
      <c r="E49" s="10" t="s">
        <v>237</v>
      </c>
      <c r="F49" s="10" t="s">
        <v>238</v>
      </c>
      <c r="G49" s="10" t="s">
        <v>239</v>
      </c>
      <c r="H49" s="8" t="s">
        <v>64</v>
      </c>
      <c r="I49" s="8" t="s">
        <v>60</v>
      </c>
      <c r="J49" s="8" t="s">
        <v>54</v>
      </c>
      <c r="K49" s="8" t="s">
        <v>240</v>
      </c>
      <c r="L49" s="8" t="s">
        <v>56</v>
      </c>
    </row>
    <row r="50">
      <c r="A50" s="9">
        <v>150.0</v>
      </c>
      <c r="B50" s="10" t="s">
        <v>137</v>
      </c>
      <c r="C50" s="10" t="s">
        <v>94</v>
      </c>
      <c r="D50" s="11" t="str">
        <f>HYPERLINK("https://drive.google.com/file/d/1EpAjJoe17JfGS5zUrtmCWqFNxmZdv3XX/view?usp=drivesdk","8962.jpg")</f>
        <v>8962.jpg</v>
      </c>
      <c r="E50" s="10" t="s">
        <v>241</v>
      </c>
      <c r="F50" s="10" t="s">
        <v>242</v>
      </c>
      <c r="G50" s="10" t="s">
        <v>243</v>
      </c>
      <c r="H50" s="8" t="s">
        <v>107</v>
      </c>
      <c r="I50" s="8" t="s">
        <v>60</v>
      </c>
      <c r="J50" s="8" t="s">
        <v>54</v>
      </c>
      <c r="K50" s="8" t="s">
        <v>244</v>
      </c>
      <c r="L50" s="8" t="s">
        <v>56</v>
      </c>
    </row>
    <row r="51">
      <c r="A51" s="9">
        <v>152.0</v>
      </c>
      <c r="B51" s="10" t="s">
        <v>137</v>
      </c>
      <c r="C51" s="10" t="s">
        <v>94</v>
      </c>
      <c r="D51" s="11" t="str">
        <f>HYPERLINK("https://drive.google.com/file/d/1aeFlDaLnWTw-KAWwhGrVfH2pLrD4Mq7c/view?usp=drivesdk","4791.jpg")</f>
        <v>4791.jpg</v>
      </c>
      <c r="E51" s="10" t="s">
        <v>245</v>
      </c>
      <c r="F51" s="10" t="s">
        <v>246</v>
      </c>
      <c r="G51" s="10" t="s">
        <v>247</v>
      </c>
      <c r="H51" s="8" t="s">
        <v>107</v>
      </c>
      <c r="I51" s="8" t="s">
        <v>60</v>
      </c>
      <c r="J51" s="8" t="s">
        <v>54</v>
      </c>
      <c r="K51" s="8" t="s">
        <v>248</v>
      </c>
      <c r="L51" s="8" t="s">
        <v>56</v>
      </c>
    </row>
    <row r="52">
      <c r="A52" s="9">
        <v>159.0</v>
      </c>
      <c r="B52" s="10" t="s">
        <v>137</v>
      </c>
      <c r="C52" s="10" t="s">
        <v>94</v>
      </c>
      <c r="D52" s="11" t="str">
        <f>HYPERLINK("https://drive.google.com/file/d/14rfR6wL5ZM6DJAHWKW_ypPNxbgkgr18W/view?usp=drivesdk","7686.jpg")</f>
        <v>7686.jpg</v>
      </c>
      <c r="E52" s="10" t="s">
        <v>249</v>
      </c>
      <c r="F52" s="10" t="s">
        <v>250</v>
      </c>
      <c r="G52" s="10" t="s">
        <v>251</v>
      </c>
      <c r="H52" s="8" t="s">
        <v>132</v>
      </c>
      <c r="I52" s="8" t="s">
        <v>54</v>
      </c>
      <c r="J52" s="8" t="s">
        <v>60</v>
      </c>
      <c r="K52" s="8" t="s">
        <v>252</v>
      </c>
      <c r="L52" s="8" t="s">
        <v>56</v>
      </c>
    </row>
    <row r="53">
      <c r="A53" s="9">
        <v>160.0</v>
      </c>
      <c r="B53" s="10" t="s">
        <v>137</v>
      </c>
      <c r="C53" s="10" t="s">
        <v>94</v>
      </c>
      <c r="D53" s="11" t="str">
        <f>HYPERLINK("https://drive.google.com/file/d/1Owg_DctBgaoGdOWXZDeDUxximkHxp9-m/view?usp=drivesdk","15842.jpg")</f>
        <v>15842.jpg</v>
      </c>
      <c r="E53" s="10" t="s">
        <v>253</v>
      </c>
      <c r="F53" s="10" t="s">
        <v>254</v>
      </c>
      <c r="G53" s="10" t="s">
        <v>255</v>
      </c>
      <c r="H53" s="8" t="s">
        <v>107</v>
      </c>
      <c r="I53" s="8" t="s">
        <v>60</v>
      </c>
      <c r="J53" s="8" t="s">
        <v>54</v>
      </c>
      <c r="K53" s="8" t="s">
        <v>256</v>
      </c>
      <c r="L53" s="8" t="s">
        <v>56</v>
      </c>
    </row>
    <row r="54">
      <c r="A54" s="9">
        <v>170.0</v>
      </c>
      <c r="B54" s="10" t="s">
        <v>137</v>
      </c>
      <c r="C54" s="10" t="s">
        <v>94</v>
      </c>
      <c r="D54" s="11" t="str">
        <f>HYPERLINK("https://drive.google.com/file/d/10ldiH7mQ_dNF3K0qgs0bq-TnGpmwwaNY/view?usp=drivesdk","16329.jpg")</f>
        <v>16329.jpg</v>
      </c>
      <c r="E54" s="10" t="s">
        <v>257</v>
      </c>
      <c r="F54" s="10" t="s">
        <v>258</v>
      </c>
      <c r="G54" s="10" t="s">
        <v>259</v>
      </c>
      <c r="H54" s="8" t="s">
        <v>132</v>
      </c>
      <c r="I54" s="8" t="s">
        <v>54</v>
      </c>
      <c r="J54" s="8" t="s">
        <v>60</v>
      </c>
      <c r="K54" s="8" t="s">
        <v>260</v>
      </c>
      <c r="L54" s="8" t="s">
        <v>56</v>
      </c>
    </row>
    <row r="55">
      <c r="A55" s="9">
        <v>173.0</v>
      </c>
      <c r="B55" s="10" t="s">
        <v>137</v>
      </c>
      <c r="C55" s="10" t="s">
        <v>94</v>
      </c>
      <c r="D55" s="11" t="str">
        <f>HYPERLINK("https://drive.google.com/file/d/1c9IUINiMrnPU-RHJevKGprR3IXqpkqWi/view?usp=drivesdk","2068.jpg")</f>
        <v>2068.jpg</v>
      </c>
      <c r="E55" s="10" t="s">
        <v>261</v>
      </c>
      <c r="F55" s="10" t="s">
        <v>262</v>
      </c>
      <c r="G55" s="10" t="s">
        <v>263</v>
      </c>
      <c r="H55" s="8" t="s">
        <v>98</v>
      </c>
      <c r="I55" s="8" t="s">
        <v>60</v>
      </c>
      <c r="J55" s="8" t="s">
        <v>54</v>
      </c>
      <c r="K55" s="8" t="s">
        <v>264</v>
      </c>
      <c r="L55" s="8" t="s">
        <v>56</v>
      </c>
    </row>
    <row r="56">
      <c r="A56" s="9">
        <v>175.0</v>
      </c>
      <c r="B56" s="10" t="s">
        <v>137</v>
      </c>
      <c r="C56" s="10" t="s">
        <v>94</v>
      </c>
      <c r="D56" s="11" t="str">
        <f>HYPERLINK("https://drive.google.com/file/d/1ihXEOQnXPDJrSL7o187KJegg2qDc5Qhh/view?usp=drivesdk","9426.jpg")</f>
        <v>9426.jpg</v>
      </c>
      <c r="E56" s="10" t="s">
        <v>265</v>
      </c>
      <c r="F56" s="10" t="s">
        <v>266</v>
      </c>
      <c r="G56" s="10" t="s">
        <v>267</v>
      </c>
      <c r="H56" s="8" t="s">
        <v>145</v>
      </c>
      <c r="I56" s="8" t="s">
        <v>60</v>
      </c>
      <c r="J56" s="8" t="s">
        <v>54</v>
      </c>
      <c r="K56" s="8" t="s">
        <v>268</v>
      </c>
      <c r="L56" s="8" t="s">
        <v>56</v>
      </c>
    </row>
    <row r="57">
      <c r="A57" s="9">
        <v>181.0</v>
      </c>
      <c r="B57" s="10" t="s">
        <v>137</v>
      </c>
      <c r="C57" s="10" t="s">
        <v>94</v>
      </c>
      <c r="D57" s="11" t="str">
        <f>HYPERLINK("https://drive.google.com/file/d/1pbl2X3rYakzPCfLZ-2ZuRLxLE_dWdB6b/view?usp=drivesdk","13677.jpg")</f>
        <v>13677.jpg</v>
      </c>
      <c r="E57" s="10" t="s">
        <v>269</v>
      </c>
      <c r="F57" s="10" t="s">
        <v>270</v>
      </c>
      <c r="G57" s="10" t="s">
        <v>271</v>
      </c>
      <c r="H57" s="8" t="s">
        <v>98</v>
      </c>
      <c r="I57" s="8" t="s">
        <v>60</v>
      </c>
      <c r="J57" s="8" t="s">
        <v>54</v>
      </c>
      <c r="K57" s="8" t="s">
        <v>272</v>
      </c>
      <c r="L57" s="8" t="s">
        <v>56</v>
      </c>
    </row>
    <row r="58">
      <c r="A58" s="9">
        <v>184.0</v>
      </c>
      <c r="B58" s="10" t="s">
        <v>137</v>
      </c>
      <c r="C58" s="10" t="s">
        <v>94</v>
      </c>
      <c r="D58" s="11" t="str">
        <f>HYPERLINK("https://drive.google.com/file/d/1bpJKsiW1OuKkzJRuzPVBzhI6J_KkPF4J/view?usp=drivesdk","8125.jpg")</f>
        <v>8125.jpg</v>
      </c>
      <c r="E58" s="10" t="s">
        <v>273</v>
      </c>
      <c r="F58" s="10" t="s">
        <v>274</v>
      </c>
      <c r="G58" s="10" t="s">
        <v>275</v>
      </c>
      <c r="H58" s="12"/>
      <c r="I58" s="12"/>
      <c r="J58" s="12"/>
      <c r="K58" s="8" t="s">
        <v>276</v>
      </c>
      <c r="L58" s="8" t="s">
        <v>56</v>
      </c>
    </row>
    <row r="59">
      <c r="A59" s="9">
        <v>188.0</v>
      </c>
      <c r="B59" s="10" t="s">
        <v>137</v>
      </c>
      <c r="C59" s="10" t="s">
        <v>94</v>
      </c>
      <c r="D59" s="11" t="str">
        <f>HYPERLINK("https://drive.google.com/file/d/1hihzYwAdBwzwF1sITIv8m5CQb5RWUYIx/view?usp=drivesdk","183.jpg")</f>
        <v>183.jpg</v>
      </c>
      <c r="E59" s="10" t="s">
        <v>277</v>
      </c>
      <c r="F59" s="10" t="s">
        <v>278</v>
      </c>
      <c r="G59" s="10" t="s">
        <v>279</v>
      </c>
      <c r="H59" s="8" t="s">
        <v>107</v>
      </c>
      <c r="I59" s="8" t="s">
        <v>60</v>
      </c>
      <c r="J59" s="8" t="s">
        <v>54</v>
      </c>
      <c r="K59" s="8" t="s">
        <v>280</v>
      </c>
      <c r="L59" s="8" t="s">
        <v>56</v>
      </c>
    </row>
    <row r="60">
      <c r="A60" s="9">
        <v>189.0</v>
      </c>
      <c r="B60" s="10" t="s">
        <v>137</v>
      </c>
      <c r="C60" s="10" t="s">
        <v>94</v>
      </c>
      <c r="D60" s="11" t="str">
        <f>HYPERLINK("https://drive.google.com/file/d/1mGMIvj0dx8EIloRmqIpC-jHgTuNeCAEX/view?usp=drivesdk","4923.jpg")</f>
        <v>4923.jpg</v>
      </c>
      <c r="E60" s="10" t="s">
        <v>281</v>
      </c>
      <c r="F60" s="10" t="s">
        <v>282</v>
      </c>
      <c r="G60" s="10" t="s">
        <v>283</v>
      </c>
      <c r="H60" s="8" t="s">
        <v>107</v>
      </c>
      <c r="I60" s="8" t="s">
        <v>60</v>
      </c>
      <c r="J60" s="8" t="s">
        <v>54</v>
      </c>
      <c r="K60" s="8" t="s">
        <v>284</v>
      </c>
      <c r="L60" s="8" t="s">
        <v>56</v>
      </c>
    </row>
    <row r="61">
      <c r="A61" s="9">
        <v>190.0</v>
      </c>
      <c r="B61" s="10" t="s">
        <v>137</v>
      </c>
      <c r="C61" s="10" t="s">
        <v>94</v>
      </c>
      <c r="D61" s="11" t="str">
        <f>HYPERLINK("https://drive.google.com/file/d/1mNotTdiadQTDhybamx2ULac821BAKnWj/view?usp=drivesdk","2630.jpg")</f>
        <v>2630.jpg</v>
      </c>
      <c r="E61" s="10" t="s">
        <v>285</v>
      </c>
      <c r="F61" s="10" t="s">
        <v>286</v>
      </c>
      <c r="G61" s="10" t="s">
        <v>287</v>
      </c>
      <c r="H61" s="8" t="s">
        <v>98</v>
      </c>
      <c r="I61" s="8" t="s">
        <v>60</v>
      </c>
      <c r="J61" s="8" t="s">
        <v>54</v>
      </c>
      <c r="K61" s="8" t="s">
        <v>233</v>
      </c>
      <c r="L61" s="8" t="s">
        <v>56</v>
      </c>
    </row>
    <row r="62">
      <c r="A62" s="9">
        <v>191.0</v>
      </c>
      <c r="B62" s="10" t="s">
        <v>137</v>
      </c>
      <c r="C62" s="10" t="s">
        <v>94</v>
      </c>
      <c r="D62" s="11" t="str">
        <f>HYPERLINK("https://drive.google.com/file/d/1kLXeyEsAmKzVhQnhlnMOexiDh-izkGit/view?usp=drivesdk","2718.jpg")</f>
        <v>2718.jpg</v>
      </c>
      <c r="E62" s="10" t="s">
        <v>288</v>
      </c>
      <c r="F62" s="10" t="s">
        <v>289</v>
      </c>
      <c r="G62" s="10" t="s">
        <v>290</v>
      </c>
      <c r="H62" s="8" t="s">
        <v>107</v>
      </c>
      <c r="I62" s="8" t="s">
        <v>60</v>
      </c>
      <c r="J62" s="8" t="s">
        <v>54</v>
      </c>
      <c r="K62" s="8" t="s">
        <v>291</v>
      </c>
      <c r="L62" s="8" t="s">
        <v>292</v>
      </c>
    </row>
    <row r="63">
      <c r="A63" s="9">
        <v>193.0</v>
      </c>
      <c r="B63" s="10" t="s">
        <v>137</v>
      </c>
      <c r="C63" s="10" t="s">
        <v>94</v>
      </c>
      <c r="D63" s="11" t="str">
        <f>HYPERLINK("https://drive.google.com/file/d/1AS8rHxa-5sN3h3yvY98_ZJyKJO6g40cB/view?usp=drivesdk","135.jpg")</f>
        <v>135.jpg</v>
      </c>
      <c r="E63" s="10" t="s">
        <v>293</v>
      </c>
      <c r="F63" s="10" t="s">
        <v>294</v>
      </c>
      <c r="G63" s="10" t="s">
        <v>295</v>
      </c>
      <c r="H63" s="8" t="s">
        <v>132</v>
      </c>
      <c r="I63" s="8" t="s">
        <v>54</v>
      </c>
      <c r="J63" s="8" t="s">
        <v>60</v>
      </c>
      <c r="K63" s="8" t="s">
        <v>296</v>
      </c>
      <c r="L63" s="8" t="s">
        <v>56</v>
      </c>
    </row>
    <row r="64">
      <c r="A64" s="9">
        <v>196.0</v>
      </c>
      <c r="B64" s="10" t="s">
        <v>137</v>
      </c>
      <c r="C64" s="10" t="s">
        <v>94</v>
      </c>
      <c r="D64" s="11" t="str">
        <f>HYPERLINK("https://drive.google.com/file/d/1A1VmBpXVVPEUAYPwgddV4QsamCHxX_Qc/view?usp=drivesdk","5930.jpg")</f>
        <v>5930.jpg</v>
      </c>
      <c r="E64" s="10" t="s">
        <v>297</v>
      </c>
      <c r="F64" s="10" t="s">
        <v>298</v>
      </c>
      <c r="G64" s="10" t="s">
        <v>299</v>
      </c>
      <c r="H64" s="8" t="s">
        <v>107</v>
      </c>
      <c r="I64" s="8" t="s">
        <v>54</v>
      </c>
      <c r="J64" s="8" t="s">
        <v>54</v>
      </c>
      <c r="K64" s="8" t="s">
        <v>300</v>
      </c>
      <c r="L64" s="8" t="s">
        <v>292</v>
      </c>
    </row>
  </sheetData>
  <dataValidations>
    <dataValidation type="list" allowBlank="1" showErrorMessage="1" sqref="I2:J64">
      <formula1>"Có,Không"</formula1>
    </dataValidation>
    <dataValidation type="list" allowBlank="1" showErrorMessage="1" sqref="H2:H64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</dataValidations>
  <drawing r:id="rId1"/>
</worksheet>
</file>